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2025旗胜标杆价连接" sheetId="2" r:id="rId1"/>
    <sheet name="措施费说明 "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_____ae1">'[1]21'!$B$1:$B$802</definedName>
    <definedName name="_______W200">'[2]21'!$B$1:$B$802</definedName>
    <definedName name="_______wa2">#REF!</definedName>
    <definedName name="_______ys1">#REF!</definedName>
    <definedName name="_______ys2">#REF!</definedName>
    <definedName name="_______ys3">#REF!</definedName>
    <definedName name="______ae1">'[1]21'!$B$1:$B$802</definedName>
    <definedName name="______W200">'[2]21'!$B$1:$B$802</definedName>
    <definedName name="______wa2">#REF!</definedName>
    <definedName name="______ys1">#REF!</definedName>
    <definedName name="______ys2">#REF!</definedName>
    <definedName name="______ys3">#REF!</definedName>
    <definedName name="_____ae1">'[1]21'!$B$1:$B$802</definedName>
    <definedName name="_____W200">'[2]21'!$B$1:$B$802</definedName>
    <definedName name="_____wa2">#REF!</definedName>
    <definedName name="_____ys1">#REF!</definedName>
    <definedName name="_____ys2">#REF!</definedName>
    <definedName name="_____ys3">#REF!</definedName>
    <definedName name="____ae1">'[1]21'!$B$1:$B$802</definedName>
    <definedName name="____W200">'[2]21'!$B$1:$B$802</definedName>
    <definedName name="____wa2">#REF!</definedName>
    <definedName name="____ys1">#REF!</definedName>
    <definedName name="____ys2">#REF!</definedName>
    <definedName name="____ys3">#REF!</definedName>
    <definedName name="___ae1">'[1]21'!$B$1:$B$802</definedName>
    <definedName name="___ngk1109" hidden="1">{#N/A,#N/A,FALSE,"估價單  (3)"}</definedName>
    <definedName name="___W200">'[2]21'!$B$1:$B$802</definedName>
    <definedName name="___wa2">#REF!</definedName>
    <definedName name="___ys1">#REF!</definedName>
    <definedName name="___ys2">#REF!</definedName>
    <definedName name="___ys3">#REF!</definedName>
    <definedName name="__ae1">'[1]21'!$B$1:$B$802</definedName>
    <definedName name="__ngk1109" hidden="1">{#N/A,#N/A,FALSE,"估價單  (3)"}</definedName>
    <definedName name="__W200">'[2]21'!$B$1:$B$802</definedName>
    <definedName name="__wa2">#REF!</definedName>
    <definedName name="__ys1">#REF!</definedName>
    <definedName name="__ys2">#REF!</definedName>
    <definedName name="__ys3">#REF!</definedName>
    <definedName name="_ae1">'[1]21'!$B$1:$B$802</definedName>
    <definedName name="_Fill" hidden="1">[16]eqpmad2!#REF!</definedName>
    <definedName name="_Order1" hidden="1">255</definedName>
    <definedName name="_W200">'[2]21'!$B$1:$B$802</definedName>
    <definedName name="_wa2">#REF!</definedName>
    <definedName name="_ys1">#REF!</definedName>
    <definedName name="_ys2">#REF!</definedName>
    <definedName name="_ys3">#REF!</definedName>
    <definedName name="a">#REF!</definedName>
    <definedName name="a2裙楼">#REF!</definedName>
    <definedName name="a5裙楼">#REF!</definedName>
    <definedName name="a7地块5裙楼">#REF!</definedName>
    <definedName name="a7地块5塔楼">#REF!</definedName>
    <definedName name="a7地块6裙楼">#REF!</definedName>
    <definedName name="a7地块6塔楼">#REF!</definedName>
    <definedName name="a7地块7裙楼">#REF!</definedName>
    <definedName name="a7地块7塔楼">#REF!</definedName>
    <definedName name="aa">#REF!</definedName>
    <definedName name="aaa">#REF!</definedName>
    <definedName name="aaaa">#REF!</definedName>
    <definedName name="aaaaa">[3]投标总结!#REF!</definedName>
    <definedName name="abc" hidden="1">{#N/A,#N/A,FALSE,"估價單  (3)"}</definedName>
    <definedName name="abcd">#REF!</definedName>
    <definedName name="ac">'[1]21'!$B$1:$B$802</definedName>
    <definedName name="ad">'[2]21'!$A$1:$A$802</definedName>
    <definedName name="ae">'[2]21'!$B$1:$B$802</definedName>
    <definedName name="all">#REF!</definedName>
    <definedName name="as">#REF!</definedName>
    <definedName name="a地库面积">[4]Sheet1!$I$3</definedName>
    <definedName name="a地库总面积">'[4]暗渠以西人防地库（暂定）'!$Y$27</definedName>
    <definedName name="a人防地库面积">'[4]暗渠以西人防地库（暂定）'!$O$2</definedName>
    <definedName name="a人防钢筋总量">[5]Sheet4!$C$22</definedName>
    <definedName name="a人防面积">[4]Sheet1!$D$20</definedName>
    <definedName name="b">#REF!</definedName>
    <definedName name="bb">#REF!</definedName>
    <definedName name="bbb">#REF!</definedName>
    <definedName name="cap">#REF!</definedName>
    <definedName name="cc">#REF!</definedName>
    <definedName name="ccc">#REF!</definedName>
    <definedName name="cola">#REF!</definedName>
    <definedName name="colb">#REF!</definedName>
    <definedName name="d">#REF!</definedName>
    <definedName name="Database" hidden="1">#REF!</definedName>
    <definedName name="dd">#REF!</definedName>
    <definedName name="ddd">#REF!</definedName>
    <definedName name="dddd">[3]投标总结!#REF!</definedName>
    <definedName name="df" hidden="1">{#N/A,#N/A,FALSE,"估價單  (3)"}</definedName>
    <definedName name="dk">#REF!</definedName>
    <definedName name="dw">[6]单位库!$A:$A</definedName>
    <definedName name="e">#REF!</definedName>
    <definedName name="eeeee">[3]投标总结!#REF!</definedName>
    <definedName name="ei" hidden="1">{#N/A,#N/A,FALSE,"估價單  (3)"}</definedName>
    <definedName name="ER">#REF!</definedName>
    <definedName name="err">#REF!</definedName>
    <definedName name="et">#REF!</definedName>
    <definedName name="ew">#REF!</definedName>
    <definedName name="f">#REF!</definedName>
    <definedName name="ff">#REF!</definedName>
    <definedName name="fff">[3]投标总结!#REF!</definedName>
    <definedName name="ffff">[3]投标总结!#REF!</definedName>
    <definedName name="fg">#REF!</definedName>
    <definedName name="fry" hidden="1">{#N/A,#N/A,FALSE,"估價單  (3)"}</definedName>
    <definedName name="gfs" hidden="1">{#N/A,#N/A,FALSE,"估價單  (3)"}</definedName>
    <definedName name="gg">#REF!</definedName>
    <definedName name="gh">#REF!</definedName>
    <definedName name="growth">#REF!</definedName>
    <definedName name="h">#REF!</definedName>
    <definedName name="hh">#REF!</definedName>
    <definedName name="hhh">[3]投标总结!#REF!</definedName>
    <definedName name="hu">#REF!</definedName>
    <definedName name="i">#REF!</definedName>
    <definedName name="j">#REF!</definedName>
    <definedName name="jg">#REF!</definedName>
    <definedName name="jk">#REF!</definedName>
    <definedName name="k">#REF!</definedName>
    <definedName name="kj">#REF!</definedName>
    <definedName name="kk">#REF!</definedName>
    <definedName name="kkk">#REF!</definedName>
    <definedName name="l">#REF!</definedName>
    <definedName name="lap">[7]General!$B$2:$G$9</definedName>
    <definedName name="lk">#REF!</definedName>
    <definedName name="ll">#REF!</definedName>
    <definedName name="lll">#REF!</definedName>
    <definedName name="lp">#REF!</definedName>
    <definedName name="m">#REF!</definedName>
    <definedName name="mm">#REF!</definedName>
    <definedName name="mn">#REF!</definedName>
    <definedName name="n">#REF!</definedName>
    <definedName name="NGK" hidden="1">{#N/A,#N/A,FALSE,"估價單  (3)"}</definedName>
    <definedName name="nn">#REF!</definedName>
    <definedName name="nnn">#REF!</definedName>
    <definedName name="o">#REF!</definedName>
    <definedName name="oo">#REF!</definedName>
    <definedName name="p">#REF!</definedName>
    <definedName name="po">#REF!</definedName>
    <definedName name="ppp">[3]投标总结!#REF!</definedName>
    <definedName name="q">#REF!</definedName>
    <definedName name="qd">'[8]21'!$A$1:$A$802</definedName>
    <definedName name="qw">#REF!</definedName>
    <definedName name="rr">#REF!</definedName>
    <definedName name="s">#REF!</definedName>
    <definedName name="sd">#REF!</definedName>
    <definedName name="ss">#REF!</definedName>
    <definedName name="t">#REF!</definedName>
    <definedName name="tr">#REF!</definedName>
    <definedName name="tt">#REF!</definedName>
    <definedName name="ty">#REF!</definedName>
    <definedName name="u">#REF!</definedName>
    <definedName name="ui">#REF!</definedName>
    <definedName name="uu">#REF!</definedName>
    <definedName name="v">#REF!</definedName>
    <definedName name="vb">#REF!</definedName>
    <definedName name="vh">#REF!</definedName>
    <definedName name="vv">#REF!</definedName>
    <definedName name="w">#REF!</definedName>
    <definedName name="wrn.TEST." hidden="1">{#N/A,#N/A,FALSE,"估價單  (3)"}</definedName>
    <definedName name="www">#REF!</definedName>
    <definedName name="x">#REF!</definedName>
    <definedName name="xc">#REF!</definedName>
    <definedName name="xx">#REF!</definedName>
    <definedName name="y">#REF!</definedName>
    <definedName name="yu">#REF!</definedName>
    <definedName name="yy">#REF!</definedName>
    <definedName name="yyyyyyrrrrrrrrrrrrr" hidden="1">{#N/A,#N/A,FALSE,"估價單  (3)"}</definedName>
    <definedName name="yyyyyyyyyyyyyyyyyyyyyyy" hidden="1">{#N/A,#N/A,FALSE,"估價單  (3)"}</definedName>
    <definedName name="z">#REF!</definedName>
    <definedName name="Z_0058B45D_7992_4448_BD80_AE962740AB39_.wvu.FilterData" hidden="1">#REF!</definedName>
    <definedName name="Z_0B038325_8511_4DD4_9DFD_2A91B2552006_.wvu.FilterData" hidden="1">#REF!</definedName>
    <definedName name="Z_0BE6C8FF_2B3F_49B1_8AA3_F98CFCEF68DF_.wvu.FilterData" hidden="1">#REF!</definedName>
    <definedName name="Z_13B0B168_C534_4752_859F_AAFCE7EC88AD_.wvu.FilterData" hidden="1">#REF!</definedName>
    <definedName name="Z_1E4B37F5_72C2_4D1E_9B49_C9394195F0C3_.wvu.FilterData" hidden="1">#REF!</definedName>
    <definedName name="Z_203B274A_8FFE_49FE_8CEC_AD7CC2C63A3E_.wvu.FilterData" hidden="1">#REF!</definedName>
    <definedName name="Z_24705FDD_926F_4BD2_984A_E37AA184C985_.wvu.FilterData" hidden="1">#REF!</definedName>
    <definedName name="Z_27D16A05_9F79_4801_B695_0DB2629D23F2_.wvu.PrintTitles" hidden="1">[17]隔墙!$1:$4</definedName>
    <definedName name="Z_36118340_1C03_4645_958C_8207EC7329B8_.wvu.FilterData" hidden="1">#REF!</definedName>
    <definedName name="Z_4D56C8A5_73A9_4726_BF53_E5DCDD246918_.wvu.FilterData" hidden="1">#REF!</definedName>
    <definedName name="Z_536006E9_8798_4C82_AE73_EAB993272197_.wvu.FilterData" hidden="1">#REF!</definedName>
    <definedName name="Z_5705510E_FA18_4671_8B78_C1D639B17842_.wvu.FilterData" hidden="1">#REF!</definedName>
    <definedName name="Z_5BD159C5_976C_406D_AC19_6A13E74D2222_.wvu.FilterData" hidden="1">#REF!</definedName>
    <definedName name="Z_62F8589C_B98B_4FDE_A47F_6FE4E3B8B446_.wvu.FilterData" hidden="1">#REF!</definedName>
    <definedName name="Z_710DBF4E_8146_4DFF_842F_52F88DCB2E2C_.wvu.FilterData" hidden="1">#REF!</definedName>
    <definedName name="Z_82697CDA_4543_4012_BAA7_436302E6754A_.wvu.FilterData" hidden="1">#REF!</definedName>
    <definedName name="Z_9597E1F2_8180_4BE2_949E_DD7EE3EBA0B8_.wvu.FilterData" hidden="1">#REF!</definedName>
    <definedName name="Z_9ACD724C_114F_4C11_9398_063A53C17629_.wvu.FilterData" hidden="1">#REF!</definedName>
    <definedName name="Z_AC55396C_2F31_4CA6_804C_4F5D29795FD9_.wvu.FilterData" hidden="1">#REF!</definedName>
    <definedName name="Z_B169463E_849C_4EAB_8DFD_53F1D90DA235_.wvu.FilterData" hidden="1">#REF!</definedName>
    <definedName name="Z_B23F4FE9_8C5C_407D_A1D6_4C8D69D10111_.wvu.FilterData" hidden="1">#REF!</definedName>
    <definedName name="Z_D0E136C3_F264_4FE5_ABB3_5F506C40DA85_.wvu.FilterData" hidden="1">#REF!</definedName>
    <definedName name="Z_D6043939_92BE_47F4_86E4_3A61CAD86EA4_.wvu.FilterData" hidden="1">#REF!</definedName>
    <definedName name="Z_E378A284_4687_4523_8ECD_6D118667D665_.wvu.FilterData" hidden="1">#REF!</definedName>
    <definedName name="Z_FEAF1123_4144_4FB0_8C0A_A6D2C46D4127_.wvu.FilterData" hidden="1">#REF!</definedName>
    <definedName name="zz">#REF!</definedName>
    <definedName name="啊啊">#REF!</definedName>
    <definedName name="半地下室0">[9]主要规划指标!#REF!</definedName>
    <definedName name="半地下室1">[10]主要规划指标!#REF!</definedName>
    <definedName name="半地下室2">[10]主要规划指标!#REF!</definedName>
    <definedName name="半地下室3">[10]主要规划指标!#REF!</definedName>
    <definedName name="半地下室4">[10]主要规划指标!#REF!</definedName>
    <definedName name="半地下室5">[10]主要规划指标!#REF!</definedName>
    <definedName name="半地下室6">[10]主要规划指标!#REF!</definedName>
    <definedName name="半地下室7">[10]主要规划指标!#REF!</definedName>
    <definedName name="半地下室8">[10]主要规划指标!#REF!</definedName>
    <definedName name="承接单位">[18]基本设置!$D$9</definedName>
    <definedName name="大型商场面积">[10]主要规划指标!#REF!</definedName>
    <definedName name="道路占有率1">[10]主要规划指标!#REF!</definedName>
    <definedName name="地库电气">'[11]塔楼给排水清单 '!$I$2</definedName>
    <definedName name="地面停车位1">[10]主要规划指标!#REF!</definedName>
    <definedName name="地面停车位2">[10]主要规划指标!#REF!</definedName>
    <definedName name="地面停车位3">[10]主要规划指标!#REF!</definedName>
    <definedName name="地面停车位4">[10]主要规划指标!#REF!</definedName>
    <definedName name="地面停车位5">[10]主要规划指标!#REF!</definedName>
    <definedName name="地面停车位6">[10]主要规划指标!#REF!</definedName>
    <definedName name="地面停车位7">[10]主要规划指标!#REF!</definedName>
    <definedName name="地面停车位8">[10]主要规划指标!#REF!</definedName>
    <definedName name="地饰面">#REF!</definedName>
    <definedName name="地下室面积">[10]主要规划指标!#REF!</definedName>
    <definedName name="地下室总面积">[10]主要规划指标!#REF!</definedName>
    <definedName name="电气">#REF!</definedName>
    <definedName name="顶饰面">#REF!</definedName>
    <definedName name="多层建筑面积">[10]主要规划指标!#REF!</definedName>
    <definedName name="多层建筑面积1">[10]主要规划指标!#REF!</definedName>
    <definedName name="多层建筑面积2">[10]主要规划指标!#REF!</definedName>
    <definedName name="多层建筑面积3">[10]主要规划指标!#REF!</definedName>
    <definedName name="多层建筑面积4">[10]主要规划指标!#REF!</definedName>
    <definedName name="多层建筑面积5">[10]主要规划指标!#REF!</definedName>
    <definedName name="多层建筑面积6">[10]主要规划指标!#REF!</definedName>
    <definedName name="多层建筑面积7">[10]主要规划指标!#REF!</definedName>
    <definedName name="多层建筑面积8">[10]主要规划指标!#REF!</definedName>
    <definedName name="多层面积">[12]主要规划指标!$D$9</definedName>
    <definedName name="阀门">'[11]塔楼给排水清单 '!$I$2</definedName>
    <definedName name="飞">#REF!</definedName>
    <definedName name="非人防地下室">[10]主要规划指标!#REF!</definedName>
    <definedName name="各产品类型目标成本表">#REF!</definedName>
    <definedName name="给排水.材料名称">OFFSET([19]给排水设置!$F$1,1,MATCH([19]给排水计算!$C1,[19]给排水设置!$F$1:$IV$1,0)-1,COUNTA(OFFSET([19]给排水设置!$F$1,1,MATCH([19]给排水计算!$C1,[19]给排水设置!$F$1:$IV$1,0)-1,500,1)),1)</definedName>
    <definedName name="公建配套面积">[10]主要规划指标!#REF!</definedName>
    <definedName name="估價單" hidden="1">{#N/A,#N/A,FALSE,"估價單  (3)"}</definedName>
    <definedName name="管理用房面积">[10]主要规划指标!#REF!</definedName>
    <definedName name="核减金额">#REF!</definedName>
    <definedName name="核增减金额">#REF!</definedName>
    <definedName name="核增金额">#REF!</definedName>
    <definedName name="宏1">#REF!</definedName>
    <definedName name="宏2">#REF!</definedName>
    <definedName name="户数1">[10]主要规划指标!#REF!</definedName>
    <definedName name="会所面积">[10]主要规划指标!#REF!</definedName>
    <definedName name="计容积率面积">[10]主要规划指标!#REF!</definedName>
    <definedName name="架空层面积">[12]主要规划指标!$D$24</definedName>
    <definedName name="架空层面积1">[10]主要规划指标!#REF!</definedName>
    <definedName name="架空层面积2">[10]主要规划指标!#REF!</definedName>
    <definedName name="架空层面积3">[10]主要规划指标!#REF!</definedName>
    <definedName name="架空层面积4">[10]主要规划指标!#REF!</definedName>
    <definedName name="架空层面积5">[10]主要规划指标!#REF!</definedName>
    <definedName name="架空层面积6">[10]主要规划指标!#REF!</definedName>
    <definedName name="架空层面积7">[10]主要规划指标!#REF!</definedName>
    <definedName name="架空层面积8">[10]主要规划指标!#REF!</definedName>
    <definedName name="建筑覆盖率1">[10]主要规划指标!#REF!</definedName>
    <definedName name="建筑面积">#REF!</definedName>
    <definedName name="洁具">#REF!</definedName>
    <definedName name="酒店面积">[10]主要规划指标!#REF!</definedName>
    <definedName name="据">[10]主要规划指标!#REF!</definedName>
    <definedName name="可销售面积">[12]主要规划指标!$D$16</definedName>
    <definedName name="可销售面积1">[10]主要规划指标!#REF!</definedName>
    <definedName name="可销售面积2">[10]主要规划指标!#REF!</definedName>
    <definedName name="可销售面积3">[10]主要规划指标!#REF!</definedName>
    <definedName name="可研销售面积">[10]主要规划指标!#REF!</definedName>
    <definedName name="连廊面积">[10]主要规划指标!#REF!</definedName>
    <definedName name="零星主材">#REF!</definedName>
    <definedName name="楼梯间">'[8]21'!$A$1:$A$802</definedName>
    <definedName name="绿地率">[10]主要规划指标!#REF!</definedName>
    <definedName name="绿地率1">[10]主要规划指标!#REF!</definedName>
    <definedName name="绿地率2">[10]主要规划指标!#REF!</definedName>
    <definedName name="绿地率3">[10]主要规划指标!#REF!</definedName>
    <definedName name="绿地率4">[10]主要规划指标!#REF!</definedName>
    <definedName name="绿地率5">[10]主要规划指标!#REF!</definedName>
    <definedName name="绿地率6">[10]主要规划指标!#REF!</definedName>
    <definedName name="绿地率7">[10]主要规划指标!#REF!</definedName>
    <definedName name="绿地率8">[10]主要规划指标!#REF!</definedName>
    <definedName name="面积">#REF!</definedName>
    <definedName name="内街商铺面积">[10]主要规划指标!#REF!</definedName>
    <definedName name="排水管线">[13]基础数据!$AB$2:$AB$10</definedName>
    <definedName name="配件">#REF!</definedName>
    <definedName name="前期">#REF!</definedName>
    <definedName name="墙饰面">#REF!</definedName>
    <definedName name="人防地下室">[10]主要规划指标!#REF!</definedName>
    <definedName name="人防地下室1">[10]主要规划指标!#REF!</definedName>
    <definedName name="人防地下室2">[10]主要规划指标!#REF!</definedName>
    <definedName name="人防地下室3">[10]主要规划指标!#REF!</definedName>
    <definedName name="人防地下室4">[10]主要规划指标!#REF!</definedName>
    <definedName name="人防地下室5">[10]主要规划指标!#REF!</definedName>
    <definedName name="人防地下室6">[10]主要规划指标!#REF!</definedName>
    <definedName name="人防地下室7">[10]主要规划指标!#REF!</definedName>
    <definedName name="人防地下室8">[10]主要规划指标!#REF!</definedName>
    <definedName name="容">[10]主要规划指标!#REF!</definedName>
    <definedName name="容积率">[10]主要规划指标!#REF!</definedName>
    <definedName name="容积率1">[10]主要规划指标!#REF!</definedName>
    <definedName name="容积率2">[10]主要规划指标!#REF!</definedName>
    <definedName name="商场1">[10]主要规划指标!#REF!</definedName>
    <definedName name="商铺">[12]主要规划指标!$D$12</definedName>
    <definedName name="商铺1">[10]主要规划指标!#REF!</definedName>
    <definedName name="商业面积">[10]主要规划指标!#REF!</definedName>
    <definedName name="商业面积1">[10]主要规划指标!#REF!</definedName>
    <definedName name="商业面积4">[10]主要规划指标!#REF!</definedName>
    <definedName name="审定金额">#REF!</definedName>
    <definedName name="审定日期">#REF!</definedName>
    <definedName name="施工">#REF!</definedName>
    <definedName name="送审金额">#REF!</definedName>
    <definedName name="外廊架空层面积">[10]主要规划指标!#REF!</definedName>
    <definedName name="外廊商铺面积">[10]主要规划指标!#REF!</definedName>
    <definedName name="外墙装饰">[13]基础数据!$O$2:$O$8</definedName>
    <definedName name="项目类别">#REF!</definedName>
    <definedName name="小高层建筑面积">[10]主要规划指标!#REF!</definedName>
    <definedName name="小高层建筑面积1">[10]主要规划指标!#REF!</definedName>
    <definedName name="小高层建筑面积2">[10]主要规划指标!#REF!</definedName>
    <definedName name="小高层建筑面积3">[10]主要规划指标!#REF!</definedName>
    <definedName name="小高层建筑面积4">[10]主要规划指标!#REF!</definedName>
    <definedName name="小高层建筑面积5">[10]主要规划指标!#REF!</definedName>
    <definedName name="小高层建筑面积6">[10]主要规划指标!#REF!</definedName>
    <definedName name="小高层建筑面积7">[10]主要规划指标!#REF!</definedName>
    <definedName name="小高层建筑面积8">[10]主要规划指标!#REF!</definedName>
    <definedName name="小高层面积">[12]主要规划指标!$D$10</definedName>
    <definedName name="小学面积">[10]主要规划指标!#REF!</definedName>
    <definedName name="小学面积4">[10]主要规划指标!#REF!</definedName>
    <definedName name="依据">#REF!</definedName>
    <definedName name="幼儿园面积">[10]主要规划指标!#REF!</definedName>
    <definedName name="预控占地面积">[10]主要规划指标!#REF!</definedName>
    <definedName name="预控占地面积之一">[10]主要规划指标!#REF!</definedName>
    <definedName name="占地面积">[10]主要规划指标!#REF!</definedName>
    <definedName name="折扣保留">#REF!</definedName>
    <definedName name="折扣率">#REF!</definedName>
    <definedName name="中高层建筑面积1">[10]主要规划指标!#REF!</definedName>
    <definedName name="中高层建筑面积2">[14]主要规划指标!$D$12</definedName>
    <definedName name="中高层建筑面积3">[14]主要规划指标!$E$12</definedName>
    <definedName name="中高层面积">[12]主要规划指标!$D$11</definedName>
    <definedName name="主题商业面积">[10]主要规划指标!#REF!</definedName>
    <definedName name="住宅面积">[10]主要规划指标!#REF!</definedName>
    <definedName name="住宅转换层面积">[10]主要规划指标!#REF!</definedName>
    <definedName name="转">'[15]21'!$B$1:$B$802</definedName>
    <definedName name="总的商业面积">[10]主要规划指标!#REF!</definedName>
    <definedName name="总商业面积">[10]主要规划指标!#REF!</definedName>
    <definedName name="저층부공내역" hidden="1">{#N/A,#N/A,FALSE,"估價單  (3)"}</definedName>
    <definedName name="저층부금액" hidden="1">{#N/A,#N/A,FALSE,"估價單  (3)"}</definedName>
    <definedName name="저층부금액1" hidden="1">{#N/A,#N/A,FALSE,"估價單  (3)"}</definedName>
    <definedName name="_xlnm.Print_Area" localSheetId="1">'措施费说明 '!$A$1:$F$16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marco</author>
    <author>Windows 用户</author>
  </authors>
  <commentList>
    <comment ref="C3" authorId="0">
      <text>
        <r>
          <rPr>
            <b/>
            <sz val="9"/>
            <rFont val="宋体"/>
            <charset val="134"/>
          </rPr>
          <t>marco:</t>
        </r>
        <r>
          <rPr>
            <sz val="9"/>
            <rFont val="宋体"/>
            <charset val="134"/>
          </rPr>
          <t xml:space="preserve">
针对具体项目从不同的维度描述清晰：材料品种、规格、长、宽、高、厚、重量、面积、体积、个数……；与计价有关的安装方式</t>
        </r>
      </text>
    </comment>
    <comment ref="I26" authorId="1">
      <text>
        <r>
          <rPr>
            <b/>
            <sz val="9"/>
            <rFont val="宋体"/>
            <charset val="134"/>
          </rPr>
          <t>冰：原辅材费是9.22，现参考定额书中册P485的A9-1+A9-3*2的辅材费含量</t>
        </r>
        <r>
          <rPr>
            <sz val="9"/>
            <rFont val="宋体"/>
            <charset val="134"/>
          </rPr>
          <t xml:space="preserve">
</t>
        </r>
      </text>
    </comment>
  </commentList>
</comments>
</file>

<file path=xl/sharedStrings.xml><?xml version="1.0" encoding="utf-8"?>
<sst xmlns="http://schemas.openxmlformats.org/spreadsheetml/2006/main" count="1458" uniqueCount="900">
  <si>
    <t>2025年广东旗胜标杆价（广东省内）</t>
  </si>
  <si>
    <t>建议投标价（批量）</t>
  </si>
  <si>
    <t>劳务发包价B（对于普通住宅批量项目）</t>
  </si>
  <si>
    <t>编号</t>
  </si>
  <si>
    <t xml:space="preserve">项  目  名  称 </t>
  </si>
  <si>
    <t>项目特征</t>
  </si>
  <si>
    <t>计算规则</t>
  </si>
  <si>
    <t>工作内容</t>
  </si>
  <si>
    <t>计量单位</t>
  </si>
  <si>
    <t>管理费、利润
(元)</t>
  </si>
  <si>
    <t>2025年税前综合单价（对甲）</t>
  </si>
  <si>
    <t xml:space="preserve">备     注 </t>
  </si>
  <si>
    <t>现行发包
班组价-标底
（税前）</t>
  </si>
  <si>
    <t>人工费
（元）</t>
  </si>
  <si>
    <t>主材费
（元）</t>
  </si>
  <si>
    <t>辅材费
(元)</t>
  </si>
  <si>
    <t>直接费小计
(元)</t>
  </si>
  <si>
    <t>综合单价
(元)</t>
  </si>
  <si>
    <t xml:space="preserve">第二章、楼地面工程 </t>
  </si>
  <si>
    <t>2-1</t>
  </si>
  <si>
    <t xml:space="preserve">楼地面水泥砂浆找平 </t>
  </si>
  <si>
    <t>厚度:30mm内</t>
  </si>
  <si>
    <t>按相应面层计算规则计算</t>
  </si>
  <si>
    <t>清理基层、备料、调制砂浆、刷水泥浆、抹平压实、抹光、养护</t>
  </si>
  <si>
    <t>㎡</t>
  </si>
  <si>
    <t>2-2</t>
  </si>
  <si>
    <t>卫生间沉箱处理（架空预制盖板制作、安装，面层水泥砂浆找平）60mm厚</t>
  </si>
  <si>
    <t>1、用带筋60mm厚预制盖板连砖砌基座（不小于∮6钢筋）
2、面层1：3水泥砂浆找平</t>
  </si>
  <si>
    <t>备料、砖砌基座、架空预制盖板制作、安装，面层1：3水泥砂浆找平</t>
  </si>
  <si>
    <t>2-3</t>
  </si>
  <si>
    <t>楼地面贴地面砖</t>
  </si>
  <si>
    <t>1、＜800mm×800 mm
2、找平层1：3水泥砂浆厚20mm~40mm+结合层水泥膏厚6mm以上（含辅助用白水泥）</t>
  </si>
  <si>
    <t>清理基层、备料、调制砂浆、浸泡块料、刷水泥浆、抹结合层、铺贴、擦缝、清理净面、养护</t>
  </si>
  <si>
    <t>如采用甲供粘结剂铺贴，辅料扣除水泥膏费用4元及相应取费</t>
  </si>
  <si>
    <t>2-4</t>
  </si>
  <si>
    <t>1、≥800mm×800mm
2、找平层1：3水泥砂浆厚20mm~40mm+结合层水泥膏厚6mm以上（含辅助用白水泥）</t>
  </si>
  <si>
    <t>2-5</t>
  </si>
  <si>
    <t>楼地面斜铺及工字铺贴地面砖</t>
  </si>
  <si>
    <t>找平层1：3水泥砂浆厚20mm~40mm+结合层水泥膏厚6mm以上（含辅助用白水泥）</t>
  </si>
  <si>
    <t>2-6</t>
  </si>
  <si>
    <t>楼地面铺贴马赛克（不拼花）</t>
  </si>
  <si>
    <t>1、各种规格
2、找平层1：3水泥砂浆厚20mm~40mm+结合层水泥膏厚6mm以上（含辅助用白水泥）</t>
  </si>
  <si>
    <t>2-7</t>
  </si>
  <si>
    <t>厨房红砖砌地台(1/4砖)连水泥砂浆抹灰</t>
  </si>
  <si>
    <t>1、W550宽×100mm高
2、构造宽度550左右</t>
  </si>
  <si>
    <t>按正立面延长米计算</t>
  </si>
  <si>
    <t>M5.0水泥砂浆、M5.0红砖（灰砂砖）、1：2.5水泥沙浆抹灰</t>
  </si>
  <si>
    <t>m</t>
  </si>
  <si>
    <t>2-8</t>
  </si>
  <si>
    <t>楼梯踏步及室内台阶铺贴地面砖</t>
  </si>
  <si>
    <t>1、各种规格
2、找平层1：3水泥砂浆厚20mm~40mm+结合层水泥膏厚6mm以上（含辅助用白水泥）。损耗根据铺贴适当调整，工程量面积按展开计算</t>
  </si>
  <si>
    <t>2-9</t>
  </si>
  <si>
    <t>楼地面铺贴各色石材</t>
  </si>
  <si>
    <t>清理基层、调制砂浆、刷水泥浆、抹结合层、铺贴、填缝、打蜡、擦光。</t>
  </si>
  <si>
    <t>2-10</t>
  </si>
  <si>
    <t>楼地面工字\斜铺\菱形铺等特色铺贴各色石材</t>
  </si>
  <si>
    <t>1、各种规格
2、找平层1：3水泥砂浆厚20mm~40mm+结合层水泥膏厚6mm以上（含辅助用白水泥）。损耗根据铺贴适当调整，面积按展开计算</t>
  </si>
  <si>
    <t>2-11</t>
  </si>
  <si>
    <t>楼梯踏步及室内台阶铺贴各色石材</t>
  </si>
  <si>
    <t>1、各种规格
2、找平层1：3水泥砂浆厚20mm~40mm+结合层水泥膏厚6mm以上（含辅助用白水泥）。含开孔切角。损耗根据铺贴适当调整，面积按展开计算、</t>
  </si>
  <si>
    <t>2-12</t>
  </si>
  <si>
    <t>踏步防滑铜条5*10-20mm（单条）</t>
  </si>
  <si>
    <t>1、5*10-20mm
2、含石材抽坑费用</t>
  </si>
  <si>
    <t>按见光面，延长米计算</t>
  </si>
  <si>
    <t>抽坑槽、安装、清理</t>
  </si>
  <si>
    <t>2-13</t>
  </si>
  <si>
    <t xml:space="preserve">楼地面塑胶卷材地板铺贴（普通大卷，不对花）                                   </t>
  </si>
  <si>
    <t>1、不对花
2、不含自流平、找平层。</t>
  </si>
  <si>
    <t>清理基层、刮腻子、涂刷粘接剂、贴面层、净面</t>
  </si>
  <si>
    <t>2-14</t>
  </si>
  <si>
    <t>地面地毯铺贴（单、双层）</t>
  </si>
  <si>
    <t>1、主材甲供
2、地毯铺贴，含胶垫等辅料</t>
  </si>
  <si>
    <t>清扫基层、拼接、铺设、修边、净面、刷胶、钉压条。包括普通胶垫及防潮层</t>
  </si>
  <si>
    <t>2-15</t>
  </si>
  <si>
    <t>地面工字铺贴实木木地板连9mm夹板基层及防潮(不含地面找平)</t>
  </si>
  <si>
    <t>乙供9厘夹板，含铺珍珠棉防潮层</t>
  </si>
  <si>
    <t>清扫基层、铺防潮层、刷防腐油、满铺九厘夹板、刷胶、铺木地板含收口条、净面。</t>
  </si>
  <si>
    <t>2-16</t>
  </si>
  <si>
    <t>地面斜铺贴实木木地板连9mm夹板基层及防潮(不含地面找平)</t>
  </si>
  <si>
    <t>2-17</t>
  </si>
  <si>
    <t>地面人字铺贴实木木地板连9mm夹板基层及防潮(不含地面找平)</t>
  </si>
  <si>
    <t>2-18</t>
  </si>
  <si>
    <t>铺贴强化（复合）木地板</t>
  </si>
  <si>
    <t>含铺珍珠棉防潮层</t>
  </si>
  <si>
    <t>清理基层、铺设防潮纸（珍珠棉）、铺强化木地板（含收口条）、净面。</t>
  </si>
  <si>
    <t>2-19</t>
  </si>
  <si>
    <t>JS聚合物防水涂料</t>
  </si>
  <si>
    <t>1、涂膜厚度1.5mm以上，防水涂料甲供</t>
  </si>
  <si>
    <t>按相应面层计算规则计算+墙身周边面积计算，扣除门窗洞面积</t>
  </si>
  <si>
    <t>清理基层、涂刷面层</t>
  </si>
  <si>
    <t>2-20</t>
  </si>
  <si>
    <t>地面防水保护层</t>
  </si>
  <si>
    <t xml:space="preserve">
1、地面1：2.5水泥砂浆15mm厚保护层</t>
  </si>
  <si>
    <t>2-21</t>
  </si>
  <si>
    <t>甲供瓷砖脚线安装</t>
  </si>
  <si>
    <t>80~120mm高</t>
  </si>
  <si>
    <t>选料、切割瓷片、抹结合层砂浆、贴面砖、擦缝、清洁表面</t>
  </si>
  <si>
    <t>2-22</t>
  </si>
  <si>
    <t>石材再次清洁、抛光、晶饰、打蜡镜面处理</t>
  </si>
  <si>
    <t>1、专业施工
2、计算范围:适用于公建类如酒店等有特别要求的单独报集团审批批，批量工程不能计取此项（必须根据联系单定取）</t>
  </si>
  <si>
    <t>清理表面、打蜡、磨光</t>
  </si>
  <si>
    <t>按工程中心交付要求执行</t>
  </si>
  <si>
    <t>按工程中心交付要求执行，全国统一</t>
  </si>
  <si>
    <t>2-23</t>
  </si>
  <si>
    <t xml:space="preserve">成品瓷砖波打线（本子目仅计铺120mm宽以内的(含120mm宽)波打线人工费用） </t>
  </si>
  <si>
    <t>1、宽120mm以内
2、找平层1：3水泥砂浆厚20mm~40mm+结合层水泥膏厚6mm以上（含辅助用白水泥）</t>
  </si>
  <si>
    <t>如采用甲供粘结剂铺贴，辅料扣除水泥膏费用0.47元及相应取费</t>
  </si>
  <si>
    <t>2-24</t>
  </si>
  <si>
    <t>成品瓷砖波打线 /门槛 （1、本子目仅计铺120mm～250mm宽(含250mm宽)波打线人工费用；
2、乙供瓷砖另计且粘贴费在瓷砖主材中考虑；
 3、宽超250mm以上瓷砖按楼地面瓷砖以面积计算）</t>
  </si>
  <si>
    <t>1、宽120mm～250mm（含250mm）
2、找平层1：3水泥砂浆厚20mm~40mm+结合层水泥膏厚6mm以上（含辅助用白水泥）</t>
  </si>
  <si>
    <t>如采用甲供粘结剂铺贴，辅料扣除水泥膏费用0.71元及相应取费</t>
  </si>
  <si>
    <t>2-25</t>
  </si>
  <si>
    <t xml:space="preserve">成品石材波打线 /门槛石（1、本子目仅计铺120mm宽以内的(含120mm宽)波打线人工费用；
2、乙供石材另计且粘贴费在石材主材中考虑） </t>
  </si>
  <si>
    <t>1、宽120㎜以内
2、找平层1：3水泥砂浆厚20mm~40mm+结合层水泥膏厚6mm以上（含辅助用白水泥）</t>
  </si>
  <si>
    <t>2-26</t>
  </si>
  <si>
    <t>成品石材波打线 /门槛石 （1、本子目仅计铺120mm～250mm宽(含250mm宽)波打线人工费用；
2、乙供石材另计且粘贴费在石材主材中考虑；
 3、宽超250以上石材按楼地面石材以面积计算）</t>
  </si>
  <si>
    <t>2-27</t>
  </si>
  <si>
    <t>1：3水泥砂浆超厚每增加10mm</t>
  </si>
  <si>
    <t>1、1：3水泥砂浆
2、瓷砖或石材铺贴、水泥砂浆厚度超过指定厚度</t>
  </si>
  <si>
    <t>按面积计算</t>
  </si>
  <si>
    <t>上料、调制砂浆、抹水泥砂浆</t>
  </si>
  <si>
    <t>2-28</t>
  </si>
  <si>
    <r>
      <rPr>
        <sz val="10"/>
        <rFont val="微软雅黑"/>
        <charset val="134"/>
      </rPr>
      <t>楼地面贴地面木纹砖（小规格）≥800mm</t>
    </r>
    <r>
      <rPr>
        <sz val="10"/>
        <rFont val="宋体"/>
        <charset val="134"/>
      </rPr>
      <t>×</t>
    </r>
    <r>
      <rPr>
        <sz val="10"/>
        <rFont val="微软雅黑"/>
        <charset val="134"/>
      </rPr>
      <t>100mm</t>
    </r>
  </si>
  <si>
    <t>按实际铺贴面积计算</t>
  </si>
  <si>
    <t>2-29</t>
  </si>
  <si>
    <t>地暖工程细石混凝土找平层</t>
  </si>
  <si>
    <t>厚度:50mm内</t>
  </si>
  <si>
    <t>清理基层、备料、细石砼制作、刷水泥浆、抹平压实、抹光、养护</t>
  </si>
  <si>
    <t>2-30</t>
  </si>
  <si>
    <t>卫生间陶粒砼（砂浆）回填</t>
  </si>
  <si>
    <t>1、回填陶粒混凝土
2、内设480*80镀锌钢丝网（规格综合考虑，单价不调整）</t>
  </si>
  <si>
    <t>按设计图示尺寸以体积计算</t>
  </si>
  <si>
    <t>清理基层、备料、陶粒砼（制作）运输、捣固、理平、压实、养护、铺设钢丝网</t>
  </si>
  <si>
    <t>m3</t>
  </si>
  <si>
    <t>按C15砼</t>
  </si>
  <si>
    <t>2-31</t>
  </si>
  <si>
    <t>淋浴隔挡水条底座水泥砂浆预埋2.0mm厚止水钢板(H=80mm)</t>
  </si>
  <si>
    <t>1、2.0厚镀锌钢板制安
2、水泥砂浆预埋固定
3、搭接处防水处理</t>
  </si>
  <si>
    <t>清理基层、备料、墙体开槽、安装止水钢板、水泥砂浆抹平收光、地面收净、止水槛与墙地面搭接处加强防水</t>
  </si>
  <si>
    <t>全国统一</t>
  </si>
  <si>
    <t>2-32</t>
  </si>
  <si>
    <t>卫生间素砼防水槛</t>
  </si>
  <si>
    <t>1、宽度250mm以内
2、厚度150mm以内
3、长度1000mm以内</t>
  </si>
  <si>
    <t>按条</t>
  </si>
  <si>
    <t>清理基层、备料、防水砂浆制作浇筑、洒水、养护、清净地面</t>
  </si>
  <si>
    <t>条</t>
  </si>
  <si>
    <t>2-33</t>
  </si>
  <si>
    <t>门套石材脚座</t>
  </si>
  <si>
    <t>1、水泥膏黏贴；
2、石材脚座安装（现场安装+厂家拼贴费）；</t>
  </si>
  <si>
    <t>门套内外2侧立面-正立面按个计取</t>
  </si>
  <si>
    <t>个</t>
  </si>
  <si>
    <t>不含石材脚座主材费用，具体是否使用瓷砖胶以工程部书面要求为准，主材按石材规格板展开面积计取（需增加相应切割加工费）</t>
  </si>
  <si>
    <t>第三章、天棚工程</t>
  </si>
  <si>
    <t>3-1</t>
  </si>
  <si>
    <t>轻钢龙骨石膏板平面天花          (不含乳胶漆)间距300*600</t>
  </si>
  <si>
    <t>1、卡式主骨/U型50系列轻钢龙骨、50付骨
2、龙牌/可耐福/拉法基牌纸面12厘石膏板1220*2440</t>
  </si>
  <si>
    <t>按实做面层面积计算</t>
  </si>
  <si>
    <t>1、吊件加工、安装、定位、弹线、选料、下料、定位杆控制高度、平整、安装龙骨及吊配附件、孔洞预留等；2、临时加固、调整、校正；3、灯箱风口封边、龙骨设置；4、预留位置、整体调整，安装天棚面层石膏板</t>
  </si>
  <si>
    <t>1、防水石膏板主材费用增加10元：
2、如为双层普通石膏板（主材费+人工费）增加20 元/m2</t>
  </si>
  <si>
    <t>3-1a</t>
  </si>
  <si>
    <t>轻钢龙骨防水石膏板平面天花 (不含乳胶漆)间距300*600</t>
  </si>
  <si>
    <t>1、卡式主骨/U型50系列轻钢龙骨、50付骨
2、龙牌/可耐福/拉法基牌纸面12厘防水石膏板1220*2440</t>
  </si>
  <si>
    <t>3-1b</t>
  </si>
  <si>
    <t>轻钢龙骨双层石膏板平面天花 (不含乳胶漆)间距300*600</t>
  </si>
  <si>
    <t>1、卡式主骨/U型50系列轻钢龙骨、50付骨
2、龙牌/可耐福/拉法基牌纸面12厘石膏板1220*2440（双层）</t>
  </si>
  <si>
    <t>3-2</t>
  </si>
  <si>
    <t>轻钢龙骨石膏板跌级天花          (不含乳胶漆)300*600（跌级部分9厘夹板底，9厘石膏板面）</t>
  </si>
  <si>
    <t>1、卡式主骨/U型50系列轻钢龙骨、50付骨
2、龙牌/可耐福/拉法基牌纸面12厘石膏板1220*2440
3、跌级辅助夹板</t>
  </si>
  <si>
    <t>按展开面积计算，或展开后折合投影面积计价，穹形或其它特殊造型的，可另行议价</t>
  </si>
  <si>
    <t>3-3</t>
  </si>
  <si>
    <t>轻钢龙骨矿棉板吊顶</t>
  </si>
  <si>
    <t>8厘拉杆、600mm*600mm</t>
  </si>
  <si>
    <t>1、吊件加工、安装、定位、弹线、选料、下料、定位杆控制高度、平整、安装龙骨及吊配附件、孔洞预留等；2、安装封边龙骨；3、调整、校正；4、安装天棚面层600*600矿棉板</t>
  </si>
  <si>
    <t>3-4</t>
  </si>
  <si>
    <t>铝扣板吊顶</t>
  </si>
  <si>
    <t>1、8厘拉杆、卡扣明暗装龙骨
2、厚度0.8mm厚，规格不限</t>
  </si>
  <si>
    <t>1、定位、弹线、焊接、膨胀螺栓及吊筋安装、选料、下料、组装、吊装、安装龙骨及横撑临时固定支撑；2、预留空洞、安装封边龙骨；3、调整、校正；4、安装天棚面层方形或条形铝扣板</t>
  </si>
  <si>
    <t>采用1.0mm厚铝扣板相应增加主材价格</t>
  </si>
  <si>
    <t>3-5</t>
  </si>
  <si>
    <t>镜面天花连基层（轻钢龙骨12mm夹板底，清镜面层）</t>
  </si>
  <si>
    <t>1、卡式主骨/U型50系列轻钢龙骨、50付骨、12厘夹板1220*2440
2、深圳蛇口6厘清镜</t>
  </si>
  <si>
    <t>1、吊件加工、安装、定位、弹线、选料、下料、定位杆控制高度、平整、安装龙骨及吊配附件、孔洞预留等；2、临时加固、调整、校正；3、灯箱风口封边、龙骨设置；4、安装天棚基层夹板、清镜</t>
  </si>
  <si>
    <t>3-11</t>
  </si>
  <si>
    <t>150高石膏角线</t>
  </si>
  <si>
    <t>1、穗华牌石膏线安装、拼接、打磨
2、不含乳胶漆</t>
  </si>
  <si>
    <t>按延长米计</t>
  </si>
  <si>
    <t>定位、清理基层、选截材料、刷底油、磨砂纸、刷胶粘贴</t>
  </si>
  <si>
    <t>3-12</t>
  </si>
  <si>
    <t>120高石膏角线</t>
  </si>
  <si>
    <t>3-13</t>
  </si>
  <si>
    <t>100高及以下石膏角线</t>
  </si>
  <si>
    <t>3-14</t>
  </si>
  <si>
    <t>特殊石膏线模具制作费</t>
  </si>
  <si>
    <t>指非市场常用规格，须满足施工图要求，需生产供应商重新调整模具而产生的费用。</t>
  </si>
  <si>
    <t>模具制安</t>
  </si>
  <si>
    <t>项</t>
  </si>
  <si>
    <t>200-500</t>
  </si>
  <si>
    <t>3-15</t>
  </si>
  <si>
    <t>厚夹板造型灯槽</t>
  </si>
  <si>
    <t>1、L型灯槽制安：含龙骨、辅助夹板及封石膏板
2、展开宽度450mm以内
3、不含乳胶漆</t>
  </si>
  <si>
    <t>制作、安装龙骨（包括检查孔）、安装天棚基层</t>
  </si>
  <si>
    <t>3-16</t>
  </si>
  <si>
    <t>夹板窗帘盒</t>
  </si>
  <si>
    <t>定位、弹线、制作、安装、固定盖板等</t>
  </si>
  <si>
    <t>3-17</t>
  </si>
  <si>
    <t>1、L型灯槽制安：含龙骨、辅助夹板及封石膏板
2、展开宽度450mm以外
3、不含乳胶漆</t>
  </si>
  <si>
    <t>3-18</t>
  </si>
  <si>
    <t>弧形夹板窗帘盒</t>
  </si>
  <si>
    <t>3-19</t>
  </si>
  <si>
    <t>3-20</t>
  </si>
  <si>
    <t>弧形造型灯槽制作</t>
  </si>
  <si>
    <t>1、L型灯槽制安：含龙骨、辅助夹板及封石膏板
2、规格不限
3、不含乳胶漆</t>
  </si>
  <si>
    <t>3-21</t>
  </si>
  <si>
    <t xml:space="preserve">夹板底木饰面天花吊顶   （轻钢龙骨12mm夹板底，木饰面面层）               </t>
  </si>
  <si>
    <t>1、卡式主骨/U型50系列轻钢龙骨、50付骨12厘夹板1220*2440、面贴3厘饰面板、油漆
2、防腐处理、面层打磨刷清漆 ~（压皮/饰面~视工艺做法实际调整）现场制安</t>
  </si>
  <si>
    <t>1、吊件加工、安装、定位、弹线、选料、下料、定位杆控制高度、平整、安装龙骨及吊配附件、孔洞预留等；2、临时加固、调整、校正；3、灯箱风口封边、龙骨设置；4、安装天棚夹板基层、木饰面层；5、面层油清漆（清扫、磨砂纸、润油粉、刮腻子、刷底漆、面漆等）</t>
  </si>
  <si>
    <t>3-22</t>
  </si>
  <si>
    <t xml:space="preserve">夹板底木拼纹饰面天花吊顶   （轻钢龙骨12mm夹板底，木饰面面层）               </t>
  </si>
  <si>
    <t>3-23</t>
  </si>
  <si>
    <t xml:space="preserve">夹板底木饰面3mm凹坑（间距100-150）天花吊顶   （轻钢龙骨12mm夹板底，100-150木饰面面层）              </t>
  </si>
  <si>
    <t>3-24</t>
  </si>
  <si>
    <t xml:space="preserve">天花轻钢龙骨12mm夹板吊顶（作为安装其他面层基层）              </t>
  </si>
  <si>
    <t>1、卡式主骨/U型50系列轻钢龙骨、50付骨
2、12厘夹板1220*2440</t>
  </si>
  <si>
    <t>1、吊件加工、安装、定位、弹线、选料、下料、定位杆控制高度、平整、安装龙骨及吊配附件、孔洞预留等；2、临时加固、调整、校正；3、灯箱风口封边、龙骨设置；4、安装天棚基层夹板</t>
  </si>
  <si>
    <t>3-25</t>
  </si>
  <si>
    <t>天花成品木饰面安装</t>
  </si>
  <si>
    <t>1、排版弹线、免钉胶粘贴、射钉固定
2、预留孔洞等</t>
  </si>
  <si>
    <t>3-26</t>
  </si>
  <si>
    <t>350mm高以内铝百叶出风口</t>
  </si>
  <si>
    <t>对口、号眼、安装木框条、过滤网及风口校正、上螺钉、固定等。</t>
  </si>
  <si>
    <t>烤漆,购买成品</t>
  </si>
  <si>
    <t>3-27</t>
  </si>
  <si>
    <t>空调风口12mm夹板制风箱或边框加固连油黑漆（高度350mm以内）</t>
  </si>
  <si>
    <t>12厘夹板、含刷黑漆</t>
  </si>
  <si>
    <t>制作、安装、内刷黑漆</t>
  </si>
  <si>
    <t>长图按图纸空调百页长度计算</t>
  </si>
  <si>
    <t>3-28</t>
  </si>
  <si>
    <t>不锈钢天花连基层（轻钢龙骨12mm夹板底，不锈钢镜面层）</t>
  </si>
  <si>
    <t>轻钢龙骨、12厘夹板1220*2440、1.0镜面不锈钢</t>
  </si>
  <si>
    <t>1、吊件加工、安装、定位、弹线、选料、下料、定位杆控制高度、平整、安装龙骨及吊配附件、孔洞预留等；2、临时加固、调整、校正；3、灯箱风口封边、龙骨设置；4、安装天棚基层夹板、不锈钢</t>
  </si>
  <si>
    <t>3-29</t>
  </si>
  <si>
    <t>天花检修口（铝制成品检修口），含现场安装费</t>
  </si>
  <si>
    <t>1、铝制成品检修口600*600</t>
  </si>
  <si>
    <t>按个计算</t>
  </si>
  <si>
    <t>3-30</t>
  </si>
  <si>
    <t>天花轻钢龙骨埃特板吊顶</t>
  </si>
  <si>
    <t>1、轻钢龙骨间距400*600（不上人）；2、直径8mm吊筋；3、埃特板面层</t>
  </si>
  <si>
    <t>按埃特板面积计算</t>
  </si>
  <si>
    <t>3-31</t>
  </si>
  <si>
    <t>天花单向铝格栅吊顶（1.0mm）</t>
  </si>
  <si>
    <t>1、卡式主骨/U型50系列轻钢龙骨、50付骨、接头、吊杆
2、面层材料：规格100*40mm*1.0mm厚（竖向）间距110mm
3、安装固定等所有辅材</t>
  </si>
  <si>
    <t>1、基层清理
2、安装龙骨
3、基层板铺贴
4、面层铺贴
5、刷防护材料</t>
  </si>
  <si>
    <t>当铝格栅规格厚度相同、间距不同时，材料费按24元/米换算；
当铝格栅规格厚度不同时，材料费需按市场价格水平根据不同间距进行换算</t>
  </si>
  <si>
    <t>3-32</t>
  </si>
  <si>
    <t>天花单向铝格栅吊顶（0.8mm）</t>
  </si>
  <si>
    <t>1、卡式主骨/U型50系列轻钢龙骨、50付骨、接头、吊杆
2、面层材料：规格100*40mm*0.8mm厚（竖向）间距110mm
3、安装固定等所有辅材</t>
  </si>
  <si>
    <t>当铝格栅规格厚度相同、间距不同时，材料费按21元/米换算；
当铝格栅规格厚度不同时，材料费需按市场价格水平根据不同间距进行换算</t>
  </si>
  <si>
    <t>3-33</t>
  </si>
  <si>
    <t>1、卡式主骨/U型50系列轻钢龙骨、50付骨、接头、吊杆
2、面层材料：规格130*70mm*1.0mm厚（竖向）间距120mm
3、安装固定等所有辅材</t>
  </si>
  <si>
    <t>当铝格栅规格厚度相同、间距不同时，材料费按26元/米换算；
当铝格栅规格厚度不同时，材料费需按市场价格水平根据不同间距进行换算</t>
  </si>
  <si>
    <t>3-34</t>
  </si>
  <si>
    <t>1、卡式主骨/U型50系列轻钢龙骨、50付骨、接头、吊杆
2、面层材料：规格130*70mm*0.8mm厚（竖向）间距120mm
3、安装固定等所有辅材</t>
  </si>
  <si>
    <t>当铝格栅规格厚度相同、间距不同时，材料费按23元/米换算；
当铝格栅规格厚度不同时，材料费需按市场价格水平根据不同间距进行换算</t>
  </si>
  <si>
    <t xml:space="preserve">第四章、墙柱面工程 </t>
  </si>
  <si>
    <t>一</t>
  </si>
  <si>
    <t>木制作部分(现场制作、安装）</t>
  </si>
  <si>
    <t>4-1</t>
  </si>
  <si>
    <t>实木收口木饰面地脚线</t>
  </si>
  <si>
    <t>1、100mm高内
2、底层防潮，九厘板基层贴饰面板实木压条打磨刷清漆</t>
  </si>
  <si>
    <t>清理基层、铺防潮层，安装九厘板基层贴饰面板实木压条、清扫净面</t>
  </si>
  <si>
    <t>4-2</t>
  </si>
  <si>
    <t>1、100mm高内
2、底层防潮，九厘板基层打底；
3、安装甲供实木脚线</t>
  </si>
  <si>
    <t>实木脚线甲供</t>
  </si>
  <si>
    <t>4-3</t>
  </si>
  <si>
    <t>不锈钢饰面地脚线</t>
  </si>
  <si>
    <t>1、100mm高内
2、底层防潮，九厘板基层不锈钢板为1.0MM厚</t>
  </si>
  <si>
    <t>定位、弹线、底层防潮，九厘板基层、粘贴面层</t>
  </si>
  <si>
    <t>包含造型折边</t>
  </si>
  <si>
    <t>4-4</t>
  </si>
  <si>
    <t>塑胶地脚线安装</t>
  </si>
  <si>
    <t>100mm高内</t>
  </si>
  <si>
    <t>制作及预埋木楔，安装踢脚线</t>
  </si>
  <si>
    <t>主材甲供</t>
  </si>
  <si>
    <t>4-5</t>
  </si>
  <si>
    <t>普通木饰面连木基层（含防潮层）</t>
  </si>
  <si>
    <t>底层防潮，9厘板基层贴饰面板打磨刷清漆、含油漆</t>
  </si>
  <si>
    <t>定位、弹线、底层防潮、龙骨上钉隔离层，贴封饰面板、钉木压条、封边线等</t>
  </si>
  <si>
    <t>4-6</t>
  </si>
  <si>
    <t>夹板底木拼纹木饰面连木基层（含防潮层）</t>
  </si>
  <si>
    <t>4-7</t>
  </si>
  <si>
    <t>成品木饰面安装</t>
  </si>
  <si>
    <t>4-8</t>
  </si>
  <si>
    <t>清镜饰面连木龙骨夹板基层（含防潮层）</t>
  </si>
  <si>
    <t>1、底层防潮，安装木龙骨，9厘板基层贴银镜
2、6厘清镜</t>
  </si>
  <si>
    <t>定位、弹线、龙骨上钉隔离层，安装玻璃面层、钉压条</t>
  </si>
  <si>
    <t>4-9</t>
  </si>
  <si>
    <t>卫生间清镜出墙120-150（含暗藏灯槽）</t>
  </si>
  <si>
    <t>1、底层防潮，安装木龙骨架，12厘板基层贴银镜
2、6厘清镜</t>
  </si>
  <si>
    <t>定位、弹线、龙骨上钉隔离层，贴封饰面板、钉木压条、封边线、安装面层等</t>
  </si>
  <si>
    <t>4-10</t>
  </si>
  <si>
    <t>墙面玻璃胶安装清镜</t>
  </si>
  <si>
    <t>1、6厘清镜安装
2、不含基层</t>
  </si>
  <si>
    <t>安装玻璃面层、钉压条</t>
  </si>
  <si>
    <t>4-11</t>
  </si>
  <si>
    <t>墙面安装6厘灰镜（含木基层）（含防潮层）</t>
  </si>
  <si>
    <t>1、底层防潮，安装木龙骨，9厘板基层贴银镜
2、6厘灰镜</t>
  </si>
  <si>
    <t>4-12</t>
  </si>
  <si>
    <t>夹板基层0.8厚304＃不锈钢饰面（含防潮层）</t>
  </si>
  <si>
    <t>1、底层防潮，9厘板基层
2、贴304不锈钢板0.8mm厚
3、需刨坑折90度角的费用另计</t>
  </si>
  <si>
    <t>定位、弹线、钉隔离层、清理基层、打胶、粘贴面层、清理净面等</t>
  </si>
  <si>
    <t>4-13</t>
  </si>
  <si>
    <t>夹板基层1.0厚304＃不锈钢饰面（含防潮层）</t>
  </si>
  <si>
    <t>1、底层防潮，9厘板基层
2、贴304不锈钢板1.0mm厚
3、需刨坑折90度角的费用另计</t>
  </si>
  <si>
    <t>4-14</t>
  </si>
  <si>
    <t>夹板基层1.2厚304＃不锈钢饰面（含防潮层）</t>
  </si>
  <si>
    <t>1、底层防潮，9厘板基层
2、贴304不锈钢板1.2mm厚
3、需刨坑折90度角的费用另计</t>
  </si>
  <si>
    <t>4-15</t>
  </si>
  <si>
    <t>夹板基层1.0厚黑色304＃不锈钢饰面（含防潮层）</t>
  </si>
  <si>
    <t>1、底层防潮，9厘板基层
2、贴304黑色不锈钢板1.0mm厚
3、需刨坑折90度角的费用另计</t>
  </si>
  <si>
    <t>4-16</t>
  </si>
  <si>
    <t>夹板基层1.2厚黑色304＃不锈钢饰面（含防潮层）</t>
  </si>
  <si>
    <t>1、底层防潮，9厘板基层
2、贴304黑色不锈钢板1.2mm厚
3、需刨坑折90度角的费用另计</t>
  </si>
  <si>
    <t>4-17</t>
  </si>
  <si>
    <t>钢化玻璃隔断（门或窗等）</t>
  </si>
  <si>
    <t>1、12mm厚钢化玻璃
2、此处只考虑玻璃及磨边,木制作另行计价</t>
  </si>
  <si>
    <t>定位弹线、下料、安装玻璃、嵌缝、清理等</t>
  </si>
  <si>
    <t>4-18</t>
  </si>
  <si>
    <t>不锈钢刨坑折90度角</t>
  </si>
  <si>
    <t>1、90度角
2、如果只做弯折不包坑不计此项费用</t>
  </si>
  <si>
    <t>定位弹线、刨坑、清理</t>
  </si>
  <si>
    <t>4-19</t>
  </si>
  <si>
    <t>轻钢龙骨12mm石膏板单面封墙（龙骨间距不大于300*600）</t>
  </si>
  <si>
    <t>1、轻钢龙骨为U100
2、单面2440*1220*12mm厚龙牌/可耐福/拉法基石膏板</t>
  </si>
  <si>
    <t>定位，弹线，安装骨架，刷防腐油，铺钉面板</t>
  </si>
  <si>
    <t>4-20</t>
  </si>
  <si>
    <t>单层轻钢龙骨双面12mm石膏板间120mm墙（龙骨间距不大于300*600）</t>
  </si>
  <si>
    <t>1、轻钢龙骨为U100
2、双面2440*1220*12mm厚龙牌/可耐福/拉法基石膏板</t>
  </si>
  <si>
    <t>石棉隔音每平方加25元</t>
  </si>
  <si>
    <t>4-20a</t>
  </si>
  <si>
    <t>单层轻钢龙骨双面12mm石膏板间120mm墙（龙骨间距不大于300*600）含隔音棉</t>
  </si>
  <si>
    <t>1、轻钢龙骨为U100
2、双面2440*1220*12mm厚龙牌/可耐福/拉法基石膏板                                            3、石棉隔音</t>
  </si>
  <si>
    <t>4-21</t>
  </si>
  <si>
    <t>墙面木龙骨封9mm夹板</t>
  </si>
  <si>
    <t>1、木龙骨
2、单面9厘夹板
3、含刷防火漆及防腐处理</t>
  </si>
  <si>
    <t>定位、下料、打眼剔洞、埋木砖、安装龙骨、刷防腐油，贴封夹板层</t>
  </si>
  <si>
    <t>批量封板（90元/㎡），采用12厘夹板综合单价加10元/㎡</t>
  </si>
  <si>
    <t>批量封板综合单价（87元/㎡），采用12厘夹板综合单价加10元/㎡</t>
  </si>
  <si>
    <t>4-21a</t>
  </si>
  <si>
    <t>墙面木龙骨封12mm夹板</t>
  </si>
  <si>
    <t>4-21b</t>
  </si>
  <si>
    <t>墙面木龙骨封9mm夹板（批量）</t>
  </si>
  <si>
    <t>4-21c</t>
  </si>
  <si>
    <t>墙面木龙骨封12mm夹板（批量）</t>
  </si>
  <si>
    <t>4-22</t>
  </si>
  <si>
    <t>木龙骨双面封12mm夹板间墙</t>
  </si>
  <si>
    <t>1、木龙骨
2、双面12厘夹板
3、含刷防火漆及防腐处理</t>
  </si>
  <si>
    <t>4-23</t>
  </si>
  <si>
    <t>墙面扪布、皮制安 硬扪</t>
  </si>
  <si>
    <t>1、9厘夹板基层含龙骨
2、12厘阻燃夹板
3、现场扪布制作，扪布、皮甲供
4、安装到位，
5、含找平夹板基层</t>
  </si>
  <si>
    <t>衬板开料加工，扪布、皮制作，弹线、试安装软包夹板模等</t>
  </si>
  <si>
    <t>1、扪布、皮甲供
2、如供应商合同价中已包含扪布制作与安装（及相关辅材时），需扣除相应费用。</t>
  </si>
  <si>
    <t>4-24</t>
  </si>
  <si>
    <t>墙面扪布、皮制安 软扪</t>
  </si>
  <si>
    <t>1、9厘夹板基层含龙骨
2、9厘夹板衬板、边框制作
3、现场扪布制作，含海棉，扪布、皮甲供
4、安装到位，
5、含找平夹板基层</t>
  </si>
  <si>
    <t>4-25</t>
  </si>
  <si>
    <t>墙面轻钢龙骨基层封12mm夹板</t>
  </si>
  <si>
    <t>1、U10轻钢龙骨基层
2、12厘夹板
3、含刷防火漆及防腐处理</t>
  </si>
  <si>
    <t>1、轻钢龙骨，12mm夹板基层；2、挂成品木饰面</t>
  </si>
  <si>
    <t>4-26</t>
  </si>
  <si>
    <t>工厂定制木饰面柜体安装，现场组装，含柜内五金件安装人工费（成品衣柜、酒柜、电视柜、鞋柜、装饰柜等）</t>
  </si>
  <si>
    <t>成品安装</t>
  </si>
  <si>
    <t>按实做投影面积计算</t>
  </si>
  <si>
    <t>4-27</t>
  </si>
  <si>
    <t>夹板飘线（50×50㎜以内）</t>
  </si>
  <si>
    <t>50×50㎜以内</t>
  </si>
  <si>
    <t>定位，弹线，安装骨架，刷防腐油，钉夹板飘线</t>
  </si>
  <si>
    <t>4-28</t>
  </si>
  <si>
    <t>实木装饰造型线综合单价计算方法（参考）</t>
  </si>
  <si>
    <t>1、实木线加工定做</t>
  </si>
  <si>
    <t>定位、清理基层、选截材料、射钉固定、擦净表面</t>
  </si>
  <si>
    <t>[木材立方单价（含加工费）×（宽+5mm）×（厚+5mm）×1.1（制作安装损耗）+安装人工费+油漆费用]×1.25×1.033（特殊线条刀具费另计）</t>
  </si>
  <si>
    <t>以上木线应以线形定价，如特殊可适当计取刀具费</t>
  </si>
  <si>
    <t>4-29</t>
  </si>
  <si>
    <t>不锈钢线条安装人工（含辅材）</t>
  </si>
  <si>
    <t>展开宽50mm-300mm宽</t>
  </si>
  <si>
    <t>①展开50mm宽以下线条安装人工及辅材综合单价按15元/米计算，90度弯折刨坑边单独另计；
②展开50mm（含50mm宽）-150mm宽（含150mm宽）线条安装人工及辅材综合单价按17元/米计算，90度弯折刨坑边单独另计；
③展开150mm以上-200mm宽（含200mm宽）以内的线条安装人工及辅材综合单价按20元/米计算，90度弯折刨坑边单独另计；
④200mm宽~300mm宽（含300mm宽）以内的线条安装人工及辅材综合单价按22元/米计算，90度弯折刨坑边单独另计；
⑤300mm以外的线条安装人工及辅材按大面不锈钢饰面对应清单子目中安装人工及辅材单价换算，折边另计。</t>
  </si>
  <si>
    <t>1、安装人工费（含辅材）为全国通用综合单价
2、主材按不锈钢装饰大面子目中主材费*线条展开宽度*管理费、利润1.2进行换算</t>
  </si>
  <si>
    <t>4-29a</t>
  </si>
  <si>
    <t>展开50mm宽以下</t>
  </si>
  <si>
    <t>4-29b</t>
  </si>
  <si>
    <t>开50mm（含50mm宽）-150mm宽（含150mm宽）</t>
  </si>
  <si>
    <t>4-29c</t>
  </si>
  <si>
    <t>150-200mm宽以内（含200mm宽）</t>
  </si>
  <si>
    <t>4-29d</t>
  </si>
  <si>
    <t>200mm宽~300mm宽以内（含300mm宽）</t>
  </si>
  <si>
    <t>4-29e</t>
  </si>
  <si>
    <t>300mm以外</t>
  </si>
  <si>
    <t>⑤300mm以外的线条安装人工及辅材按大面不锈钢饰面对应清单子目中安装人工及辅材单价换算，折边另计。</t>
  </si>
  <si>
    <t>二</t>
  </si>
  <si>
    <t>泥水部分</t>
  </si>
  <si>
    <t>4-30</t>
  </si>
  <si>
    <t>石材线条安装人工（含辅材）</t>
  </si>
  <si>
    <t>80mm-120mm宽</t>
  </si>
  <si>
    <t>定位、清理基层、选截材料、拌制水泥膏、粘贴固定、清洁表面</t>
  </si>
  <si>
    <r>
      <rPr>
        <sz val="10"/>
        <rFont val="微软雅黑"/>
        <charset val="134"/>
      </rPr>
      <t>①80mm宽以下线条按23</t>
    </r>
    <r>
      <rPr>
        <b/>
        <sz val="10"/>
        <rFont val="微软雅黑"/>
        <charset val="134"/>
      </rPr>
      <t>元/米</t>
    </r>
    <r>
      <rPr>
        <sz val="10"/>
        <rFont val="微软雅黑"/>
        <charset val="134"/>
      </rPr>
      <t>（综合单价）。
②80mm（含80mm宽）-150mm宽（含150mm宽）线条按2</t>
    </r>
    <r>
      <rPr>
        <b/>
        <sz val="10"/>
        <rFont val="微软雅黑"/>
        <charset val="134"/>
      </rPr>
      <t>8元/米</t>
    </r>
    <r>
      <rPr>
        <sz val="10"/>
        <rFont val="微软雅黑"/>
        <charset val="134"/>
      </rPr>
      <t>（综合单价）计算。
③超出150mm宽的石材线条安装人工及辅材按楼地面或墙柱面平面安装人工及辅材单价换算。</t>
    </r>
  </si>
  <si>
    <t>4-30a</t>
  </si>
  <si>
    <t>80mm宽以下</t>
  </si>
  <si>
    <t>4-30b</t>
  </si>
  <si>
    <t>80mm（含80mm宽）-150mm宽（含150mm宽）线条</t>
  </si>
  <si>
    <t>4-30c</t>
  </si>
  <si>
    <t>超出150mm宽的石材线条</t>
  </si>
  <si>
    <t>超出150mm宽的石材线条安装人工及辅材按楼地面或墙柱面平面安装人工及辅材单价换算。</t>
  </si>
  <si>
    <t>4-31</t>
  </si>
  <si>
    <t>墙身湿贴瓷砖（块料周长3200内）</t>
  </si>
  <si>
    <t xml:space="preserve">1、单块砖＜800×800mm
2、8mm水泥膏粘贴,不含水泥砂浆找平层。  </t>
  </si>
  <si>
    <t>如采用甲供粘结剂铺贴，辅料扣除水泥膏费用9元及相应取费</t>
  </si>
  <si>
    <t>（对乙）如采用甲供粘结剂铺贴，辅料扣除水泥膏费用6.27元及相应取费</t>
  </si>
  <si>
    <t>4-32</t>
  </si>
  <si>
    <t>墙身湿贴瓷砖（块料周长3200外）</t>
  </si>
  <si>
    <t>1、单块砖≥800×800mm  
2、8mm水泥膏粘贴,不含水泥砂浆找平层。</t>
  </si>
  <si>
    <t>4-33</t>
  </si>
  <si>
    <t>墙身采用铜丝做法增加费</t>
  </si>
  <si>
    <t>开槽、绑铜丝、打钉、固定</t>
  </si>
  <si>
    <t>4-34</t>
  </si>
  <si>
    <t>块料瓷砖图案或工字铺或特殊铺贴</t>
  </si>
  <si>
    <t>4-35</t>
  </si>
  <si>
    <t>墙身纸皮马赛克铺贴 不拼花</t>
  </si>
  <si>
    <t>1、不分规格
2、8mm水泥膏粘贴，不含水泥砂浆找平层。</t>
  </si>
  <si>
    <t>选料、抹结合层、粘贴、擦缝、清洁表面</t>
  </si>
  <si>
    <t>4-36</t>
  </si>
  <si>
    <t>墙面水泥砂浆湿贴石材</t>
  </si>
  <si>
    <t>1、规格板
2、10mm厚水泥膏粘贴，不含水泥砂浆找平层。</t>
  </si>
  <si>
    <t>1、清理基层、刷水泥浆、抹结合层、刷粘结剂、镶贴块料、砂浆勾缝。
2、磨光、擦缝、打蜡、养护。</t>
  </si>
  <si>
    <t>（对乙）如采用甲供粘结剂铺贴，辅料扣除水泥膏费用6.48元及相应取费</t>
  </si>
  <si>
    <t>4-37</t>
  </si>
  <si>
    <t>墙面水泥砂浆挂贴石材</t>
  </si>
  <si>
    <t>1、规格板 
2、灌浆20mm厚1：2.5水泥砂浆,不含水泥砂浆找平层。采用挂铜丝做法</t>
  </si>
  <si>
    <t>1、清理修补基层、刷浆2、选料、钻孔成槽、镶贴面层、穿丝固定。3、调制砂浆、灌砂浆、磨光、擦缝、打蜡、养护。</t>
  </si>
  <si>
    <t>4-38</t>
  </si>
  <si>
    <t>墙面石材干挂人工、辅材费</t>
  </si>
  <si>
    <t>1、规格板
2、不含干挂件、不含石材费用，含石材开孔槽费用</t>
  </si>
  <si>
    <t>4-39</t>
  </si>
  <si>
    <t>墙面干挂钢结构制作、安装人工费、辅材费</t>
  </si>
  <si>
    <t>1、钢材安装人工费，不含钢材、干挂件材料费。</t>
  </si>
  <si>
    <t>铁件加工、焊接钢架、刷防锈漆等</t>
  </si>
  <si>
    <t>钢材，干挂件材料费根据施工图纸另计。（如钢架按吨计算，人工费+辅材费按4500元/吨综合单价换算）</t>
  </si>
  <si>
    <r>
      <rPr>
        <sz val="10"/>
        <rFont val="宋体"/>
        <charset val="134"/>
      </rPr>
      <t>钢材，干挂件材料费根据施工图纸另计。（如钢架按吨计算，人工费+辅材费按4000元/吨综合单价换算）；</t>
    </r>
    <r>
      <rPr>
        <sz val="10"/>
        <color indexed="10"/>
        <rFont val="宋体"/>
        <charset val="134"/>
      </rPr>
      <t>报价中暂估钢材费用50元/平方</t>
    </r>
  </si>
  <si>
    <t>4-40</t>
  </si>
  <si>
    <t>砌内墙灰砂砖</t>
  </si>
  <si>
    <t>1、120mm厚
2、M5.0水泥砂M5.0红砖/灰砂砖（</t>
  </si>
  <si>
    <t>砖墙:运料、淋砖、调铺砂浆、砌砖、安放垫块、木砖、铁件等,砖旋、砖过梁、砖拱包括制作、安装及拆除模板</t>
  </si>
  <si>
    <t>4-41</t>
  </si>
  <si>
    <t>1、180mm厚
2、M5.0水泥砂M5.0红砖/灰砂砖</t>
  </si>
  <si>
    <t>4-42</t>
  </si>
  <si>
    <t>墙面水泥砂浆找平</t>
  </si>
  <si>
    <t>厚度:含30mm内</t>
  </si>
  <si>
    <t>调制砂浆、抹灰、找平、刷水泥浆</t>
  </si>
  <si>
    <t>4-43</t>
  </si>
  <si>
    <t>4-44</t>
  </si>
  <si>
    <t>墙身瓷砖/石材脚线嵌入式安装开槽150高以内，超出按比例折算</t>
  </si>
  <si>
    <t>厚度:根据面层材料而定</t>
  </si>
  <si>
    <t>切割、打凿、清理</t>
  </si>
  <si>
    <t xml:space="preserve">第五章、五金类安装工程 </t>
  </si>
  <si>
    <t>五金类玻璃门类五金</t>
  </si>
  <si>
    <t>5-1</t>
  </si>
  <si>
    <t>地弹簧</t>
  </si>
  <si>
    <t>BTS65（轻型）最大承重100KG</t>
  </si>
  <si>
    <t>多玛牌多玛牌及其他同等牌子（含安装费）</t>
  </si>
  <si>
    <t>5-2</t>
  </si>
  <si>
    <t>地弹簧（配不锈钢色盖板）</t>
  </si>
  <si>
    <t>BTS1900（轻型）最大承重110KG</t>
  </si>
  <si>
    <t>海福乐品牌（含安装费）</t>
  </si>
  <si>
    <t>5-3</t>
  </si>
  <si>
    <t>HD-302A（轻型）最大承重110KG</t>
  </si>
  <si>
    <t>皇鼎品牌（含安装费）</t>
  </si>
  <si>
    <t>5-4</t>
  </si>
  <si>
    <t>HD-305A（重型）最大承重300KG</t>
  </si>
  <si>
    <t>5-5</t>
  </si>
  <si>
    <t>力级可调地弹簧</t>
  </si>
  <si>
    <t>BTS75V（中型）最大承重100KG</t>
  </si>
  <si>
    <t>5-6</t>
  </si>
  <si>
    <t>液压定位多功能地弹簧</t>
  </si>
  <si>
    <t>BTS80（重型）最大承重300KG</t>
  </si>
  <si>
    <t>5-7</t>
  </si>
  <si>
    <t>地锁（锁夹）12MM</t>
  </si>
  <si>
    <t>us10</t>
  </si>
  <si>
    <t>多玛牌多玛牌及其他同等牌子</t>
  </si>
  <si>
    <t>5-8</t>
  </si>
  <si>
    <t>地锁（锁夹）15MM</t>
  </si>
  <si>
    <t>5-9</t>
  </si>
  <si>
    <t>地锁（锁夹）19MM</t>
  </si>
  <si>
    <t>5-10</t>
  </si>
  <si>
    <t>不锈钢拉手φ38*800MM</t>
  </si>
  <si>
    <t>TG-9457</t>
  </si>
  <si>
    <t>付</t>
  </si>
  <si>
    <t>5-11</t>
  </si>
  <si>
    <t>不锈钢大拉手φ38*1200mm</t>
  </si>
  <si>
    <t>903.01.981</t>
  </si>
  <si>
    <t>海福乐</t>
  </si>
  <si>
    <t>5-12</t>
  </si>
  <si>
    <t>闭门器</t>
  </si>
  <si>
    <t>Ts68</t>
  </si>
  <si>
    <t>5-13</t>
  </si>
  <si>
    <t>304#不锈钢上下夹（短夹）</t>
  </si>
  <si>
    <t>规格、型号不同时单价另做调整</t>
  </si>
  <si>
    <t>5-14</t>
  </si>
  <si>
    <t>IR 02 932.72.024
IR 02 932.72.034</t>
  </si>
  <si>
    <t>海福乐品牌</t>
  </si>
  <si>
    <t>5-15</t>
  </si>
  <si>
    <t>HD-010-SS
HD-020-SS</t>
  </si>
  <si>
    <t>5-16</t>
  </si>
  <si>
    <t>304#不锈钢上下夹（长夹）-同门扇宽（800-900长）</t>
  </si>
  <si>
    <t>5-17</t>
  </si>
  <si>
    <t>IR 03 932.72.064</t>
  </si>
  <si>
    <t>5-18</t>
  </si>
  <si>
    <t>304#普通不锈钢拉手</t>
  </si>
  <si>
    <t>φ38*800</t>
  </si>
  <si>
    <t>180～255</t>
  </si>
  <si>
    <t>5-19</t>
  </si>
  <si>
    <t>直角方管不锈钢大拉手</t>
  </si>
  <si>
    <t>φ38*25  L=1200mm</t>
  </si>
  <si>
    <t>5-20</t>
  </si>
  <si>
    <t>不锈钢拉手</t>
  </si>
  <si>
    <t>AG102-φ38*1200-SS</t>
  </si>
  <si>
    <t>皇鼎品牌</t>
  </si>
  <si>
    <t>5-21</t>
  </si>
  <si>
    <t>玻璃门进口锁夹及安装</t>
  </si>
  <si>
    <t>只</t>
  </si>
  <si>
    <t>5-22</t>
  </si>
  <si>
    <t>走火通道门闭门器（浙江利益）</t>
  </si>
  <si>
    <t>65kg</t>
  </si>
  <si>
    <t>套</t>
  </si>
  <si>
    <t>品牌、规格、型号不同时单价另做调整</t>
  </si>
  <si>
    <t>卫生间洁具及小五金安装类</t>
  </si>
  <si>
    <t>5-23</t>
  </si>
  <si>
    <t>淋浴间安装直径22mm不锈钢管挂帘杆壁厚1.2mm厚</t>
  </si>
  <si>
    <t>根</t>
  </si>
  <si>
    <t>1.8m/根</t>
  </si>
  <si>
    <t>5-24</t>
  </si>
  <si>
    <t>洗手间配饰安装(主材甲供)</t>
  </si>
  <si>
    <t>厕纸盒、毛巾杆（环）、浴巾架等</t>
  </si>
  <si>
    <t>按每项计</t>
  </si>
  <si>
    <t>5-25</t>
  </si>
  <si>
    <t>卫生间洗手台钢架制作（不小于40角钢制作）</t>
  </si>
  <si>
    <t>含刷防锈漆</t>
  </si>
  <si>
    <t>5-26</t>
  </si>
  <si>
    <t>甲供银镜安装（重叠镜）</t>
  </si>
  <si>
    <t>5-27</t>
  </si>
  <si>
    <t>10#钢化玻璃，304#不锈钢联墙材、合页、墙夹、拉杆、不锈钢拉手</t>
  </si>
  <si>
    <t>平开门</t>
  </si>
  <si>
    <t>各户型卫生间</t>
  </si>
  <si>
    <t>5-28</t>
  </si>
  <si>
    <t>10mm钢化玻璃，304#不锈钢合页、墙夹，拉杆、不锈钢拉手</t>
  </si>
  <si>
    <t>5-29</t>
  </si>
  <si>
    <t>10mm钢化玻璃，铜镀铬合页、固定夹、，不锈钢拉手、拉杆</t>
  </si>
  <si>
    <t>5-30</t>
  </si>
  <si>
    <t>10#钢化玻璃，304#不锈钢合夹、墙夹，不锈钢拉手</t>
  </si>
  <si>
    <t>插顶</t>
  </si>
  <si>
    <t>5-31</t>
  </si>
  <si>
    <t>8#钢化玻璃，304#不锈钢合页、墙夹、不锈钢拉手</t>
  </si>
  <si>
    <t>单门</t>
  </si>
  <si>
    <t>用于保姆房卫生间</t>
  </si>
  <si>
    <t>5-32</t>
  </si>
  <si>
    <t>8#钢化玻璃，铝材活动门轴，铝材边框、拉杆</t>
  </si>
  <si>
    <t>转轴</t>
  </si>
  <si>
    <t>5-33</t>
  </si>
  <si>
    <t>8mm钢化玻璃，趟门，铝材杆件、拉手</t>
  </si>
  <si>
    <t>趟门</t>
  </si>
  <si>
    <t>一字型户型（此种款式比较少用，目前在桂南有用过）</t>
  </si>
  <si>
    <t xml:space="preserve">第六章、 油漆、涂料、裱糊工程 </t>
  </si>
  <si>
    <t>6-1</t>
  </si>
  <si>
    <t>墙面、天花乳胶漆</t>
  </si>
  <si>
    <t>1、刮甲供成品腻子两遍以上,干燥打磨
2、刷甲供乳胶漆，一底两面
3、PVC阴阳角线</t>
  </si>
  <si>
    <t>按相应面层面积计算</t>
  </si>
  <si>
    <t>清扫、配浆、刮腻子、磨砂纸、刷乳胶漆等</t>
  </si>
  <si>
    <t>适用示范单位,样板层,售楼部,高等级会所,酒店，目标成本≥2500元/m2的别墅、洋房批量项目</t>
  </si>
  <si>
    <t>6-2</t>
  </si>
  <si>
    <t>适用目标成本&lt;2500元/m2的别墅、洋房批量项目批量装修,办公\公建用房等</t>
  </si>
  <si>
    <t>6-3</t>
  </si>
  <si>
    <t>墙面、天花肌理漆</t>
  </si>
  <si>
    <t>1、刮甲供成品腻子两遍以上,干燥打磨
2、涂刷甲供封闭底漆
3、涂刷甲供肌理漆
4、采用专用工具批刮表面效果（仿布纹质感、浮雕喷点压花、浮雕喷圆点、玛雅效果质感、条形纹质感）</t>
  </si>
  <si>
    <t>清理工作面、清扫、配浆、刮腻子、涂刷底油、磨砂纸、刷肌理漆、涂刷罩光漆、批刮表面效果等</t>
  </si>
  <si>
    <t>6-4</t>
  </si>
  <si>
    <t>1、刮甲供成品腻子两遍以上,干燥打磨
2、涂刷甲供封闭底漆
3、涂刷甲供肌理漆
4、采用专用工具批刮表面效果（扇形纹质感、圆纹质感、树皮纹质感）</t>
  </si>
  <si>
    <t>6-5</t>
  </si>
  <si>
    <t>墙面、天花双飞粉油二遍</t>
  </si>
  <si>
    <t>1、第一遍白水泥30%、双飞粉50%、增石粉20%、全硅胶胶水
2、第二遍白水泥15%、双飞粉50%、增石粉35%、全硅胶胶水</t>
  </si>
  <si>
    <t>清扫、配浆、刮腻子、磨砂纸、补小洞、刮双灰粉腻子二遍等</t>
  </si>
  <si>
    <t>6-6</t>
  </si>
  <si>
    <t xml:space="preserve">抹灰贴墙纸
</t>
  </si>
  <si>
    <t>1、刮甲供成品腻子两遍以上,干燥打磨
2、刷墙纸胶或光油，贴墙纸，墙纸甲供</t>
  </si>
  <si>
    <t>1、清扫、配浆、刮腻子、磨砂纸、补小洞；2、刷底油、配制贴面材料、裱糊刷胶、裁墙纸、贴装饰面等</t>
  </si>
  <si>
    <t>甲供成品腻子两遍</t>
  </si>
  <si>
    <t>6-7</t>
  </si>
  <si>
    <t xml:space="preserve">抹灰贴墙布
</t>
  </si>
  <si>
    <t>1、刮甲供成品腻子两遍以上,干燥打磨
2、刷墙纸胶或光油，贴墙布，墙布甲供</t>
  </si>
  <si>
    <t>6-8</t>
  </si>
  <si>
    <t>墙面天花喷涂黑色乳胶漆</t>
  </si>
  <si>
    <t>1、调制涂料
2、喷涂黑色涂料</t>
  </si>
  <si>
    <t>清扫、清铲、调制、、喷涂、制作面涂等</t>
  </si>
  <si>
    <t>梁柱位置按展开面积计算</t>
  </si>
  <si>
    <t>6-9</t>
  </si>
  <si>
    <t>木饰面油漆（墙面、柜面、家私面饰）</t>
  </si>
  <si>
    <t>1、刮腻子打磨刷底漆打磨，8-12遍面漆
2、现场制作喷漆</t>
  </si>
  <si>
    <t>清扫、磨砂纸、润油粉、刮腻子、刷底漆、面漆等</t>
  </si>
  <si>
    <t>6-10</t>
  </si>
  <si>
    <t>木饰面油漆翻新</t>
  </si>
  <si>
    <t>1、刮腻子打磨刷底漆打磨，油面漆5遍以内
2、现场制作喷漆
3、局部维修.零星</t>
  </si>
  <si>
    <t>清扫、磨砂纸、润油粉、刮腻子、面漆等</t>
  </si>
  <si>
    <t>适用于局部翻新</t>
  </si>
  <si>
    <t>6-11</t>
  </si>
  <si>
    <t>乳胶漆翻新</t>
  </si>
  <si>
    <t>1、含局部补腻子，天花裂缝处理，油乳胶漆2遍以内
2、公司指定品牌，材料乙供</t>
  </si>
  <si>
    <t>6-12</t>
  </si>
  <si>
    <t>普通乳胶漆（翻新 油漆1遍）</t>
  </si>
  <si>
    <t>1、清扫、配浆、刮腻子、磨砂纸、刷乳胶漆1遍
2、不含铲除费用
3、公司指定品牌，材料乙供</t>
  </si>
  <si>
    <t>6-13</t>
  </si>
  <si>
    <t>普通乳胶漆（翻新油漆 2遍）</t>
  </si>
  <si>
    <t>1、清扫、配浆、刮腻子、磨砂纸、刷乳胶漆2遍
2、不含铲除费用
3、公司指定品牌，材料乙供</t>
  </si>
  <si>
    <t>6-14</t>
  </si>
  <si>
    <t>50mm宽以内木线条油清漆（有造型的）</t>
  </si>
  <si>
    <t>1、清扫、磨砂纸、润油粉、刮腻子、刷底漆、面漆等
2、油漆为油性漆</t>
  </si>
  <si>
    <t>6-15</t>
  </si>
  <si>
    <t>50～100mm宽以内木线条油清漆（有造型的）</t>
  </si>
  <si>
    <t>6-16</t>
  </si>
  <si>
    <t>仿估金/银箔工程</t>
  </si>
  <si>
    <t>1、刮甲供成品腻子两遍以上,干燥打磨
2、刷专用底漆封底，打磨，照面漆、贴金箔、保护层</t>
  </si>
  <si>
    <t>1、在干燥、平滑、牢固的的基层上进行专用底漆封底，以达到防潮效果。
2、在底涂封闭后进行底漆喷涂（两遍）干燥后砂纸磨平。封一遍照面仿古漆或清漆，防止仿古金箔或金箔受潮返底。
3、待基层底涂完成后开始刷涂仿古金箔或金箔专用胶水，达到均匀，易吸收。
4、待仿古金箔或金箔胶水干固后开始贴仿古金箔或金箔。
5、仿古金箔或金箔整体贴面完成后，开始进行肌理造型处理完成饰面效果。
6、在处理后的仿古金箔或金箔界面上，喷洒一遍保护面层，然后进行必要的面层处理达到光滑、平整的效果。
7、喷涂保护层，仿古金箔或金箔施工结束。</t>
  </si>
  <si>
    <t>线条面按展开面积计算工程量计价
星河湾按展开面积算，280元/m2；
非星河湾按投影面积算，300元/m2；</t>
  </si>
  <si>
    <t>第七章、装修类安装工程</t>
  </si>
  <si>
    <t>样板房装修安装工程</t>
  </si>
  <si>
    <t>样板房装修电气安装</t>
  </si>
  <si>
    <t>吉屋交楼示范单位及单独承接标准交楼示范单位</t>
  </si>
  <si>
    <t>7-1</t>
  </si>
  <si>
    <t>标准装修强弱电（灯具甲供）（单方指标为1000元/㎡以内）</t>
  </si>
  <si>
    <t>包括照明、电脑、配电箱、电视、电话配管、穿线，插座、开关、装饰及工程灯具等安装，按套内面积计算，可根据实际情况测算调整（含乙供材料：线管、底盒等辅材，含样板房需配合的装饰灯具安装）</t>
  </si>
  <si>
    <t>7-2</t>
  </si>
  <si>
    <t>豪华装修强弱电（灯具甲供）（含甲供材单方指标为1000-2000元/㎡以内）</t>
  </si>
  <si>
    <t>7-3</t>
  </si>
  <si>
    <t>超豪华别墅/复式装修强弱电（灯具甲供）（含甲供材单方指标为2000-3000元/㎡以内）</t>
  </si>
  <si>
    <t>7-4</t>
  </si>
  <si>
    <t>锦绣户型装修强弱电（灯具甲供）（含甲供材单方指标为3000元/㎡以上）</t>
  </si>
  <si>
    <t>7-5</t>
  </si>
  <si>
    <t>配合样板房开放电梯大堂首层强弱电（灯具甲供）</t>
  </si>
  <si>
    <t>7-6</t>
  </si>
  <si>
    <t>样板房所在电梯大堂标准层强弱电（灯具甲供）</t>
  </si>
  <si>
    <t>样板房装修给排水安装</t>
  </si>
  <si>
    <t>7-7</t>
  </si>
  <si>
    <t>室内给排水安装（含甲供洁具及地漏等安装）</t>
  </si>
  <si>
    <t>仅适用于样板房工程、售楼部、会所类卫生间给排水安装需视实际平面布置情况调整</t>
  </si>
  <si>
    <t>间</t>
  </si>
  <si>
    <t>单卫生间450，2个卫生间950</t>
  </si>
  <si>
    <t>7-8</t>
  </si>
  <si>
    <t>厨房及全部阳台（含甲供管道及龙头等安装）</t>
  </si>
  <si>
    <t>（仅适用于样板房）</t>
  </si>
  <si>
    <t>面积≤2500㎡公建类装修水电</t>
  </si>
  <si>
    <t>7-9</t>
  </si>
  <si>
    <r>
      <rPr>
        <sz val="10"/>
        <rFont val="微软雅黑"/>
        <charset val="134"/>
      </rPr>
      <t>小型的售楼部、会所（面积≤2500</t>
    </r>
    <r>
      <rPr>
        <sz val="12"/>
        <rFont val="微软雅黑"/>
        <charset val="134"/>
      </rPr>
      <t>㎡</t>
    </r>
    <r>
      <rPr>
        <sz val="10"/>
        <rFont val="微软雅黑"/>
        <charset val="134"/>
      </rPr>
      <t>）、商铺、菜市场、车站、医院、学校、居委会、保安亭等单件工程。(灯具甲供）</t>
    </r>
  </si>
  <si>
    <r>
      <rPr>
        <sz val="10"/>
        <rFont val="微软雅黑"/>
        <charset val="134"/>
      </rPr>
      <t>①、装修单价指标＜1000元/</t>
    </r>
    <r>
      <rPr>
        <sz val="12"/>
        <rFont val="宋体"/>
        <charset val="134"/>
      </rPr>
      <t>㎡</t>
    </r>
  </si>
  <si>
    <t>1、包括照明、电脑、配电箱、电视、电话配管穿线，插座、开关及装饰及工程灯具等安装，按套内面积计算，可根据实际情况测算调整（含乙供材料：线管、开关、插座、底盒等主、辅材）
2、如有集中排风、排烟工程，另加16.5元/m2，综合单价不含一级配电箱。
3、装修单价指标为不含甲供材料；
4、超大型装饰灯具（超40头以上）如厂家不安装，需由施工单位配合安装，另行签证办理；</t>
  </si>
  <si>
    <t>7-10</t>
  </si>
  <si>
    <r>
      <rPr>
        <sz val="10"/>
        <rFont val="微软雅黑"/>
        <charset val="134"/>
      </rPr>
      <t>②、1000元/</t>
    </r>
    <r>
      <rPr>
        <sz val="12"/>
        <rFont val="微软雅黑"/>
        <charset val="134"/>
      </rPr>
      <t>㎡</t>
    </r>
    <r>
      <rPr>
        <sz val="10"/>
        <rFont val="微软雅黑"/>
        <charset val="134"/>
      </rPr>
      <t>≤装修单价指标＜2500元/</t>
    </r>
    <r>
      <rPr>
        <sz val="12"/>
        <rFont val="微软雅黑"/>
        <charset val="134"/>
      </rPr>
      <t>㎡</t>
    </r>
  </si>
  <si>
    <t>7-11</t>
  </si>
  <si>
    <r>
      <rPr>
        <sz val="10"/>
        <rFont val="微软雅黑"/>
        <charset val="134"/>
      </rPr>
      <t>③、2500元/</t>
    </r>
    <r>
      <rPr>
        <sz val="12"/>
        <rFont val="微软雅黑"/>
        <charset val="134"/>
      </rPr>
      <t>㎡</t>
    </r>
    <r>
      <rPr>
        <sz val="10"/>
        <rFont val="微软雅黑"/>
        <charset val="134"/>
      </rPr>
      <t>≤装修单价指标＜5000元/</t>
    </r>
    <r>
      <rPr>
        <sz val="12"/>
        <rFont val="微软雅黑"/>
        <charset val="134"/>
      </rPr>
      <t>㎡</t>
    </r>
  </si>
  <si>
    <t>7-12</t>
  </si>
  <si>
    <r>
      <rPr>
        <sz val="10"/>
        <rFont val="微软雅黑"/>
        <charset val="134"/>
      </rPr>
      <t>④、装修单价指标≥5000元/</t>
    </r>
    <r>
      <rPr>
        <sz val="12"/>
        <rFont val="微软雅黑"/>
        <charset val="134"/>
      </rPr>
      <t>㎡</t>
    </r>
  </si>
  <si>
    <t>7-13</t>
  </si>
  <si>
    <t>办公室工程（灯具甲供）</t>
  </si>
  <si>
    <t>7-14</t>
  </si>
  <si>
    <r>
      <rPr>
        <sz val="10"/>
        <rFont val="微软雅黑"/>
        <charset val="134"/>
      </rPr>
      <t>公建类售楼部、会所（＞2500</t>
    </r>
    <r>
      <rPr>
        <sz val="12"/>
        <rFont val="微软雅黑"/>
        <charset val="134"/>
      </rPr>
      <t>㎡</t>
    </r>
    <r>
      <rPr>
        <sz val="10"/>
        <rFont val="微软雅黑"/>
        <charset val="134"/>
      </rPr>
      <t>）机电工程</t>
    </r>
  </si>
  <si>
    <t>单独招标工程类,按集团安装预算专业公布为准,如不招标,参考第1项</t>
  </si>
  <si>
    <t>室内批量、公共区域批量装修等水电</t>
  </si>
  <si>
    <t>7-15</t>
  </si>
  <si>
    <t>批量非示范单位所在楼层的大堂（首层、标准层）</t>
  </si>
  <si>
    <t>以集团公司安装预算专业公布为准　</t>
  </si>
  <si>
    <t>7-16</t>
  </si>
  <si>
    <t>批量室内装修水电工程</t>
  </si>
  <si>
    <t>7-17</t>
  </si>
  <si>
    <t>按年度或单件签署的零星工程</t>
  </si>
  <si>
    <t>第八章、 木制成品门窗（套、扇）、扶手安装工程</t>
  </si>
  <si>
    <t>门窗工程</t>
  </si>
  <si>
    <t>8-1</t>
  </si>
  <si>
    <t>木饰面单掩门连门套</t>
  </si>
  <si>
    <r>
      <rPr>
        <sz val="10"/>
        <rFont val="微软雅黑"/>
        <charset val="134"/>
      </rPr>
      <t>700~900mm宽</t>
    </r>
    <r>
      <rPr>
        <sz val="10"/>
        <rFont val="宋体"/>
        <charset val="134"/>
      </rPr>
      <t>×</t>
    </r>
    <r>
      <rPr>
        <sz val="10"/>
        <rFont val="微软雅黑"/>
        <charset val="134"/>
      </rPr>
      <t>2100mm高</t>
    </r>
  </si>
  <si>
    <t>1、清理基层，定位、刷防腐油、制作基层板；                                               2、门饰面清理基层，选料，弹线、开料、涂胶、粘贴固定、修边、擦净表面，将半成品运放集中地点；                    3、安装、调校、固定、填缝；                      4、清扫、磨砂纸、润油粉、刮腻子、刷底漆、面漆；                                            5、门锁定位、安装、调校等</t>
  </si>
  <si>
    <t>现场制安</t>
  </si>
  <si>
    <t>8-2</t>
  </si>
  <si>
    <t>木饰面双掩门连门套</t>
  </si>
  <si>
    <t>1600mm宽×2100mm高</t>
  </si>
  <si>
    <t>8-3</t>
  </si>
  <si>
    <t>木饰面子母门连门套</t>
  </si>
  <si>
    <t>1300mm宽×2100mm高</t>
  </si>
  <si>
    <t>8-4</t>
  </si>
  <si>
    <t>一般入户单掩门连门套</t>
  </si>
  <si>
    <t>1000mm宽×2100mm高</t>
  </si>
  <si>
    <t>8-5</t>
  </si>
  <si>
    <t>木饰面门套制安</t>
  </si>
  <si>
    <t>900mm宽×2100mm高</t>
  </si>
  <si>
    <t>8-6</t>
  </si>
  <si>
    <t>8-7</t>
  </si>
  <si>
    <t>安装单掩门连门套（含门套基层）</t>
  </si>
  <si>
    <t>主材另计,含运输及门锁五金安装及</t>
  </si>
  <si>
    <t>8-8</t>
  </si>
  <si>
    <t>安装双掩门连门套（含门套基层）</t>
  </si>
  <si>
    <t>1400mm宽×2100mm高</t>
  </si>
  <si>
    <t>8-9</t>
  </si>
  <si>
    <t>现场制安单掩门套12mm夹板基层
（板条打底式）</t>
  </si>
  <si>
    <t>1000mm宽×2200mm高以内规格</t>
  </si>
  <si>
    <t>1、清理基层，定位、刷防腐油、制作基层板；</t>
  </si>
  <si>
    <t>按工程联系单为计取依据</t>
  </si>
  <si>
    <t>8-10</t>
  </si>
  <si>
    <t>现场制安双掩门套12mm夹板基层
（板条打底式）</t>
  </si>
  <si>
    <t>1400mm宽×2200mm高以内规格</t>
  </si>
  <si>
    <t>8-11</t>
  </si>
  <si>
    <t>现场制安单掩门套12mm夹板基层
（整板打底式）</t>
  </si>
  <si>
    <t>8-12</t>
  </si>
  <si>
    <t>现场制安双掩门套12mm夹板基层
（整板打底式）</t>
  </si>
  <si>
    <t>8-13</t>
  </si>
  <si>
    <t>钢架结构底架封夹板管井暗门(含暗锁及五金件)1600*800㎜</t>
  </si>
  <si>
    <t>800mm宽×1600mm高</t>
  </si>
  <si>
    <t>铁件加工、焊接钢架、刷防锈漆、贴封夹板层等</t>
  </si>
  <si>
    <t>扶手、栏杆</t>
  </si>
  <si>
    <t>8-14</t>
  </si>
  <si>
    <t>12mm钢化玻璃楼梯拦河(不含不锈钢立柱、爪件、扶手等）</t>
  </si>
  <si>
    <t>900～1100mm高，临边 防护</t>
  </si>
  <si>
    <t>定位弹线、放样、下料、安装玻璃、嵌缝、清理等</t>
  </si>
  <si>
    <t>对甲收入价格(不含不锈钢立柱、爪件、扶手等）</t>
  </si>
  <si>
    <t>8-15</t>
  </si>
  <si>
    <t>15mm钢化玻璃楼梯拦河(不含不锈钢立柱、爪件、扶手等）</t>
  </si>
  <si>
    <t>8-16</t>
  </si>
  <si>
    <t>19mm钢化玻璃楼梯拦河(不含不锈钢立柱、爪件、扶手等）</t>
  </si>
  <si>
    <t>第九章、脚手架类工程</t>
  </si>
  <si>
    <t>9-1</t>
  </si>
  <si>
    <t>满堂超高脚手架(≥4.2米)</t>
  </si>
  <si>
    <t>1、挖坑、立杆、接杆、驳接上扣、铺板、绑扎、立柱垫脚等的搭设全部过程；2、施工期间的加固维修和安全管理、完工拆除工作；3、拆除后的材料分类整理、绑扎、堆放及场内外运输等</t>
  </si>
  <si>
    <r>
      <rPr>
        <sz val="10"/>
        <rFont val="微软雅黑"/>
        <charset val="134"/>
      </rPr>
      <t>m</t>
    </r>
    <r>
      <rPr>
        <vertAlign val="superscript"/>
        <sz val="10"/>
        <rFont val="微软雅黑"/>
        <charset val="134"/>
      </rPr>
      <t>3</t>
    </r>
  </si>
  <si>
    <t>9-2</t>
  </si>
  <si>
    <t>单排钢脚手架（外墙装饰用）</t>
  </si>
  <si>
    <t>9-3</t>
  </si>
  <si>
    <t xml:space="preserve">双排钢管脚手架（零星工程价格） </t>
  </si>
  <si>
    <t>①单栋门楼100m2以下：25元/m2
②单栋门楼100m2以上及外墙石材工程：20元/m2</t>
  </si>
  <si>
    <t>1、单栋门楼100m2以下：18元/m2
2、单栋门楼100m2以上及外墙石材工程：14元/m2</t>
  </si>
  <si>
    <t>9-3a</t>
  </si>
  <si>
    <t>①单栋门楼100m2以下：</t>
  </si>
  <si>
    <t>9-3b</t>
  </si>
  <si>
    <t>②单栋门楼100m2以上</t>
  </si>
  <si>
    <t>9-4</t>
  </si>
  <si>
    <t>装修综合脚手架</t>
  </si>
  <si>
    <t>凡结构净高大于4.2米、小于等于6米以内的天棚及墙面装饰，按装修综合脚手架计取</t>
  </si>
  <si>
    <t>在没有任何的脚手架的情况下才能计算该费用，按使用面积计算</t>
  </si>
  <si>
    <t>第十二章、独立措施及配管费项目</t>
  </si>
  <si>
    <t>楼地面工程</t>
  </si>
  <si>
    <t>12-1</t>
  </si>
  <si>
    <t>楼地面块料面层(瓷砖及石材类）及水泥砂浆结合层铲除</t>
  </si>
  <si>
    <t>凿除块料面层、结合层、清理基层、废渣堆放</t>
  </si>
  <si>
    <t>12-2</t>
  </si>
  <si>
    <t>楼地面整体水泥砂浆面层及结合层铲除</t>
  </si>
  <si>
    <t>凿除面层、结合层、清理基层、废渣堆放</t>
  </si>
  <si>
    <t>12-3</t>
  </si>
  <si>
    <t>拆除复合木地板</t>
  </si>
  <si>
    <t>拆除、清理基层、废料堆放</t>
  </si>
  <si>
    <t>12-4</t>
  </si>
  <si>
    <t>拆除木脚线</t>
  </si>
  <si>
    <t>拆除、清理基层、废料堆放。</t>
  </si>
  <si>
    <t>墙面工程</t>
  </si>
  <si>
    <t>12-5</t>
  </si>
  <si>
    <t>砖墙、砼墙面抹灰面铲除</t>
  </si>
  <si>
    <t>铲除抹灰层、清理基层、废渣堆放</t>
  </si>
  <si>
    <t>12-6</t>
  </si>
  <si>
    <t>铲除墙纸</t>
  </si>
  <si>
    <t>铲除墙纸、清理基层、废渣堆放</t>
  </si>
  <si>
    <t>12-7</t>
  </si>
  <si>
    <t>拆砖墙（120厚砖墙）</t>
  </si>
  <si>
    <t>拆除砖墙体、清理基层、废渣堆放</t>
  </si>
  <si>
    <t>12-8</t>
  </si>
  <si>
    <t>拆砖墙（180厚砖墙）</t>
  </si>
  <si>
    <t>12-9</t>
  </si>
  <si>
    <t>凿除墙面瓷砖、石材及水泥砂浆结合层、找平层</t>
  </si>
  <si>
    <t>铲除面层、结合层、找平层、清理基层、废料堆放</t>
  </si>
  <si>
    <t>天花工程</t>
  </si>
  <si>
    <t>12-10</t>
  </si>
  <si>
    <t>拆除石膏线（不分规格）</t>
  </si>
  <si>
    <t>拆除石膏线、清理基层、废渣堆放</t>
  </si>
  <si>
    <t>12-11</t>
  </si>
  <si>
    <t>窗帘盒/灯槽拆除</t>
  </si>
  <si>
    <t>12-12</t>
  </si>
  <si>
    <t>拆除轻钢龙骨石膏板、埃特板吊顶或轻钢龙骨铝扣板、铝塑板吊顶或轻钢龙骨木饰面吊顶</t>
  </si>
  <si>
    <t>拆除龙骨、基层、面层、清理基层、堆放废料</t>
  </si>
  <si>
    <t>12-13</t>
  </si>
  <si>
    <t>天花做轻钢龙骨石膏板吊顶（不换轻钢龙骨，只换面层石膏板）</t>
  </si>
  <si>
    <t>安装石膏板面层</t>
  </si>
  <si>
    <t>12-14</t>
  </si>
  <si>
    <t>天花更换方形铝扣板（只换面层方形铝扣板）</t>
  </si>
  <si>
    <t>安装方形铝扣板面层</t>
  </si>
  <si>
    <t>12-15</t>
  </si>
  <si>
    <t>天花开灯孔（仅用于已有旧天花面上）</t>
  </si>
  <si>
    <t>定位、机械开孔</t>
  </si>
  <si>
    <t>水电工程</t>
  </si>
  <si>
    <t>12-16</t>
  </si>
  <si>
    <t>拆除原有水箱座厕,清理,搬运</t>
  </si>
  <si>
    <t>拆除水箱座厕、清理基层、废料堆放</t>
  </si>
  <si>
    <t>12-17</t>
  </si>
  <si>
    <t>拆除原有脚踏蹲厕,清理,搬运</t>
  </si>
  <si>
    <t>拆除脚踏蹲厕、清理基层、废料堆放</t>
  </si>
  <si>
    <t>12-18</t>
  </si>
  <si>
    <t>拆除原有水箱蹲厕,清理,搬运</t>
  </si>
  <si>
    <t>拆除水箱蹲厕、清理基层、废料堆放</t>
  </si>
  <si>
    <t>12-19</t>
  </si>
  <si>
    <t>拆除原有洗手盆,清理,搬运</t>
  </si>
  <si>
    <t>拆除洗手盆、清理基层、废料堆放</t>
  </si>
  <si>
    <t>12-20</t>
  </si>
  <si>
    <t>拆除原有冷水龙头,清理</t>
  </si>
  <si>
    <t>拆除冷水龙头、清理基层、废料堆放</t>
  </si>
  <si>
    <t>12-21</t>
  </si>
  <si>
    <t>拆除原有冷热水龙头,清理</t>
  </si>
  <si>
    <t>拆除冷热水龙头、清理基层、废料堆放</t>
  </si>
  <si>
    <t>第十三章、独立措施及配管费项目</t>
  </si>
  <si>
    <t>独立措施费项目</t>
  </si>
  <si>
    <t>13-1</t>
  </si>
  <si>
    <t>安全文明施工费</t>
  </si>
  <si>
    <t>包含但不限于：
1、安全警示标志牌、现场围挡外墙美化、五板一图、企业标志、场容场貌、材料堆放、现场防火、垃圾存置（承包人要做到工完场清，负责将垃圾清运到甲方指定地点）、人员岗位标卡、环境保护、临边洞口交叉高处作业防护、保健急救措、安全检测费用、施工机具防护、平安卡等发生于该工程施工准备和施工过程中的技术、生活、安全、环境保护等方面的非实体项目；
2、需综合考虑现场搭建工法样板房、材料集中加工点等设施；</t>
  </si>
  <si>
    <t>按工程直接费*2%</t>
  </si>
  <si>
    <t>当涉及到垃圾外运至市政指定地点堆放时，需由投标人自行考虑。</t>
  </si>
  <si>
    <t>13-2</t>
  </si>
  <si>
    <t>临时设施及其它临时费用（水电、消防、电梯等）</t>
  </si>
  <si>
    <t>包含但不限于：现场办公生活设施、施工现场临时用电、施工现场临时用水设施、施工现场符合消防要求的消防设施等发生于该工程施工准备和施工过程中的技术、生活、安全、环境保护等方面的非实体项目。</t>
  </si>
  <si>
    <t>按工程直接费*1%</t>
  </si>
  <si>
    <t>13-3</t>
  </si>
  <si>
    <t>垂直运输及材料二次搬运费</t>
  </si>
  <si>
    <t>垂直运输指施工工程在合理工期内所需垂直运输机械费；材料二次搬运指由于施工场地条件限制而发生的材料、成品、半成品等一次运输不能到达堆放地点，必须进行的二次或多次搬运所产生的费用</t>
  </si>
  <si>
    <t>按工程直接费*0.5%</t>
  </si>
  <si>
    <t>1、涉及到别墅、特殊情况</t>
  </si>
  <si>
    <t>13-4</t>
  </si>
  <si>
    <t>已完工程及设备（成品）保护费</t>
  </si>
  <si>
    <t>标装工程成品保护费用＜2500元/平米（成本含甲供材）按套内面积计算</t>
  </si>
  <si>
    <t>1、对已完工程及设备采取的覆盖、包裹、封闭、隔离等必要保护措施；
2、数量按施工套内面积计算，费用已包括施工过程中必须对非施工区域进行保护的费用，如做室内批时装修时，对已完工的电梯间公共区域保护等，全国统一；
3、按《雅居乐地产装饰工程成品保护标准（2017版》要求的成品保护措施实施</t>
  </si>
  <si>
    <t>13-5</t>
  </si>
  <si>
    <t>措施费 豪装工程成品保护费用＞2500元/平米（成本含甲供材）按套内面积计算</t>
  </si>
  <si>
    <t>13-6</t>
  </si>
  <si>
    <t>措施费,毛坯交付项目,公共电梯大堂成品保护费用,按套内面积计算</t>
  </si>
  <si>
    <t>要求的成品保护措施实施</t>
  </si>
  <si>
    <t>13-7</t>
  </si>
  <si>
    <t xml:space="preserve"> 电梯轿箱保护 </t>
  </si>
  <si>
    <t>13-8</t>
  </si>
  <si>
    <t>第三方测评管理费</t>
  </si>
  <si>
    <t>工程验收除符合工程质量规范要求外；承包人必须服从并配合发包人委托的第三方检测单位、第三方验房单位的检查，工程质量需达到第三方检测、验房工作评估要求的质量要求制度，不符合质量要求制度的，承包人必须无条件整改，整改时间计入合同工期，未能按质量要求和时限要求完成整改的，须按本合同的约定承担相应的违约责任。</t>
  </si>
  <si>
    <t>按工程直接费*0.05%</t>
  </si>
  <si>
    <t>13-9</t>
  </si>
  <si>
    <t>赶工措施费</t>
  </si>
  <si>
    <t>1、赶工措施费指当发包人要求工期少于合理工期或者工程项目由于自然、地质以及外部环境的影响导致工期延误，承包方为满足发包方的工期要求、通过采用相应的技术及组织措施所发生的费用；
2、指施工过程中，因合同约定的非施工单位原因导致工程延期，而发包方又要求该项工程必须在施工合同约定的日期前完工，采用相应技术及组织措施所发生的费用</t>
  </si>
  <si>
    <t>如发生时单独计取</t>
  </si>
  <si>
    <t>配管费项目</t>
  </si>
  <si>
    <t>13-10</t>
  </si>
  <si>
    <t>甲分包配管费（如木制品、淋浴隔断等）</t>
  </si>
  <si>
    <t>通常指由承包单位和专业分包单位的项目施工配合费：含提供水电接口、提供垂直运输、收口、施工脚手架、、成品保护、平行交叉影响、铁件预埋等的服务、配合管理责任、施工现场管理等服务所需的费用。包括的主要内容（但不限于）：
1.提供工地内垂直运输设备（如塔吊、施工电梯、井架等）。
2.通道与场地，负责安排作业面及作业时间。
3.承包人须在现场为专业分包单位提供仓储地点、卸货点等
4.承包人负责提供施工及生活用水、用电及其调试所需水电接口；
5. 承包人负责提供标高、定位点线等。
6.承包人须协调好所承包项目与各专业分包人承包工程的施工顺序，如存在管线等安装位置矛盾等问题，各单位不能擅自施工，须协调变更设计后方能施工，否则，已施工完管线等的拆除、报废等费用由擅自施工方自行承担。</t>
  </si>
  <si>
    <t>13-11</t>
  </si>
  <si>
    <t>甲供材保管及相关检测费</t>
  </si>
  <si>
    <t>第十四章、非标杆外项目</t>
  </si>
  <si>
    <t>14-1</t>
  </si>
  <si>
    <t>地面水泥基自流平</t>
  </si>
  <si>
    <t>14-2</t>
  </si>
  <si>
    <t>木饰面楼梯拦河基层制作（含灯槽制作、机片安装）。面层木饰面、不锈钢脚线另计</t>
  </si>
  <si>
    <t>950mm高，临边 防护</t>
  </si>
  <si>
    <t>14-3</t>
  </si>
  <si>
    <t>木饰面平台拦河基层制作（含灯槽制作、机片安装）。面层木饰面、不锈钢脚线另计</t>
  </si>
  <si>
    <t>1050mm高，临边 防护</t>
  </si>
  <si>
    <t>措施费说明</t>
  </si>
  <si>
    <t>序号</t>
  </si>
  <si>
    <t>项目名称</t>
  </si>
  <si>
    <t>项目特征及工程内容</t>
  </si>
  <si>
    <t>工程量计算规则</t>
  </si>
  <si>
    <t>单位</t>
  </si>
  <si>
    <t>备注</t>
  </si>
  <si>
    <t>包括但不限于：1、噪音及排污管理费、楼栋日常清理及保安费用、生活住宿区及现场办公区、配合施工的各类检测等；2、材料加工工厂化、图纸深度标准化、现场管理可视化、施工现场整洁化、安全帽、标牌等；3、建筑垃圾清理及运输费（运送至总包单位指定的场内垃圾堆放点），包含甲供材、甲分包产生的垃圾清理及运输费；4、其他安全文明施工措施费等。</t>
  </si>
  <si>
    <t>1、装饰楼地面面积，定标后不再调整。
2、含增值税综合单价为税后全费用综合单价,不再计算其他费用。</t>
  </si>
  <si>
    <t>m2</t>
  </si>
  <si>
    <t>环境保护费</t>
  </si>
  <si>
    <t>环境保护包含但不限于：1、现场施工机械设备降低噪音、防扰民措施费用；2、水泥和其他易飞扬细颗粒建筑材料密闭存放或采取覆盖措施等费用；3、工程防扬尘洒水费用；4、外运车辆冲洗、防洒漏等费用；5、现场污染源的控制、生活垃圾清理外运、场地排水排污措施的费用；6、施工现场为达到环保等有关部门要求所需要的各项费用；7、其他环境保护措施费等。</t>
  </si>
  <si>
    <t>冬雨季、夏季、夜间施工费、非夜间施工费</t>
  </si>
  <si>
    <t xml:space="preserve">一、冬雨季施工增加费
1、冬雨（风）季施工时增加的临时设施（防寒保温、防雨、防风设施）的搭设、拆除； 2、冬雨（风）季施工时，采用的特殊加温、保温和养护措施；3、冬雨（风）季施工时，施工现场的防滑处理、对影响施工的雨雪的清除；4、包括冬雨（风）季施工时增加的临时设施的摊销、施工人员的劳动保护用品、冬雨（风）季施工劳动效率降低等费用；5、建设单位和监理单位审核确定的冬季施工方案进行的冬季施工费用。
二、夏季施工增加费
1、夏季施工增加的洒水降尘；2、夏季施工增加的防暑降温保护措施费；3、夏季施工天气干燥增加的防火措施费；4、夏季施工增加的其他措施费。
三、夜间、非夜间施工增加费
1、夜间固定照明灯具和临时可移动照明灯具的设置、拆除；2、夜间施工时，施工现场交通标志、安全标牌、警示灯等的设置、移动、拆除；3、包括夜间照明设备摊销及照明用电、施工人员夜班、夜间施工劳动效率降低等费用；4、夜间施工费、工期赶工或配合营销需要增加的赶工费用或由此造成的材料代用增加费用等、合同工期内不超过2个月的赶工增加而引起的各种人工、材料、机械设备的损耗及增加（含周转材料等）以及其它保证合同工期和甲方要求的各类措施费；5.虽然合同已有其它规定,即使如因非乙方原因使得开工日期推后一个月内,乙方承诺按建设单位及监理单位的要求在合同规定的基础上增加劳动力和设备及材料的投入,确保工程能按合同相关约定的竣工日期竣工验收合格,并保证不因乙方的任何原因而影响建设单位取得《竣工验收备案证明书》,由此增加的赶工措施费用；6、非夜间施工增加的各种费用；7、因场地、项目所处位置的特殊性而增加的夜间施工、赶工费,包括但不限于:(1)不能进行夜间施工而采取的措施所增加的费用；(2)构件异地加工增加费用；(3)因赶工等采取的措施增加费用；(4)因赶工模板采用一次或多次摊销费用；(5)因中考、高考、交通管制及政府部门限制施工（强制停工）引起的赶工费用。
</t>
  </si>
  <si>
    <t>临时设施费</t>
  </si>
  <si>
    <t>临时设施包含范围：1、施工现场临时建筑物、构筑物的搭设、维修、拆除或摊销的费用，如临时宿舍、办公室、食堂、厨房、厕所、诊疗所、临时文化福利用房、临时仓库、加工场、搅拌台、临时简易水塔、水池等；2、施工现场临时设施的搭设、维修、拆除或摊销的费用，如临时供水管道、临时供电管线、小型临时设施等；3、施工现场规定范围内临时简易道路铺设、维修、拆除的费用；4、为建设单位、咨询单位、监理单位提供的现场工作用房，需配备有足够的照明、插座、电话、空调和取暖设施等；5、为建设单位和监理单位提供整洁卫生的现场厕所；6、按合同、建设单位要求和施工需要修建用于本工程建设的各种临时设施，包括车间、仓库、现场砼搅拌站、安全围栏、临时道路、现场公共厕所等，并在不需要的时候进行拆除和恢复原状，拆除建渣清运至合法倒场；7、其他临时设施费搭设、维修、拆除或摊销的费用；8、配合甲方开发节奏变化产生的临时设施搬迁费用；9、因本工程场地限制，施工单位自行考虑临时设施场地及搭设、安拆费用。</t>
  </si>
  <si>
    <t>二次及多次转运费（含甲供材装卸费）</t>
  </si>
  <si>
    <t>包括由于施工场地条件限制而发生的材料、成品、半成品等一次运输不能到达堆放地点,必须进行二次或多次搬运的费用，包含甲供材料的装卸费、转运费等。</t>
  </si>
  <si>
    <t>脚手架（综合）</t>
  </si>
  <si>
    <t>1、室内装修脚手架搭设，不区分层高及搭设部位；
2、不区分搭设材料及搭设方式，包含架管、扣件、跳板等所有相关材料的购买、租赁、搭设、拆除、进出场等费用；
3、脚手架应无偿提供给其他相关精装分包单位使用；
4、其他脚手架相关费用。</t>
  </si>
  <si>
    <t>垂直运输费及综合考虑超高降效费</t>
  </si>
  <si>
    <t>1、包括合理工期内完成全部工作所需的垂直运输机械台班。但不包括大型机械的场外运输、安装拆卸及轨道铺拆和基础等费用；
2、包括超高增加的人工、机械降效费；
3、垂直运输设备应无偿提供给其他相关分包单位使用；
4、其他相关垂直运输产生的一切费用。</t>
  </si>
  <si>
    <t>总包移交后修补及整改费用</t>
  </si>
  <si>
    <t>总包移交时，精装单位有责任仔细核查土建总包及其他专业分包移交工作面满足技术质量要求，对移交后发生的质量问题由精装单位负责修补及整改。同时包括场地的清理、障碍物的清除移位等，使得工作面能够达到可以施工的要求。</t>
  </si>
  <si>
    <t>成品保护费</t>
  </si>
  <si>
    <t>1、对已完工程及设备采取的覆盖、包裹、封闭、隔离等必要保护措施所发生的费用；2、工程竣工验收和工程移交前乙方对竣工工程(包含分包工程)进行的成品保护、保卫和守护所发生的费用；3、在需要时，或者应建设单位的要求，或应法定主管机构或其他保卫部门的要求，为保护工程或保证公众和其它方面的安全和方便，在需要的地方对工程提供照明、警戒、围栏等费用；4、包含施工过程中对电梯轿厢的保护。</t>
  </si>
  <si>
    <t>1、地面装修面积，定标后不再调整。
2、含增值税综合单价为税后全费用综合单价,不再计算其他费用。</t>
  </si>
  <si>
    <t>开荒保洁、精保洁费</t>
  </si>
  <si>
    <t>1、按要求完成精装修施工过程中的保洁及交付前的精细保洁工作；2、精保洁不限次数，必须满足交付验收标准。</t>
  </si>
  <si>
    <t>检验试验费</t>
  </si>
  <si>
    <t>1、对建筑材料、构件和建筑安装物进行一般鉴定、检查（不包含新结构、新材料的试验费、对构件做破坏性试验及其他特殊要求一切检验试验的费用）所发生的费用,包括自设试验室进行试验所耗用的材料和化学药品等费用。所有的材料和工艺都应符合合同规定和甲方的要求。
2、乙方应提供相应的质检报告和出厂合格证等资料（甲供的材料和设备除外），并随时按甲方项目总代表的指令在现场或其它地方进行检验、测试,并按甲方要求提供样品。
3、如果项目所在地政策规定材料检测费需要由甲方单独签订检测合同，则该项费用由甲方代为支付，相应金额的材料检测费用在工程款中扣回。若实际甲方代为支付金额超过乙方所报清单措施中材料检测费金额，差额部分由乙方承担，不予补偿。</t>
  </si>
  <si>
    <t>其他措施费</t>
  </si>
  <si>
    <t>除列明的措施项目外，凡招标文件中有要求或本工程有要求，但清单未列而项目实施过程中可能发生的一切措施项目，承包人均应综合考虑计入本条清单报价内，不论施工过程中发生何种因素导致的措施费增加，费用均由承包人承担。包括为了满足规范要求、政府要求及防疫需要所增加的费用；</t>
  </si>
  <si>
    <t>备注：
1、本表中，措施费报价总价为包干费用，即不可调整费用。
2、工程量计算基数中所指的展示区装饰楼地面面积指展示区施工蓝图面积，定标后均不再调整。
3、清单措施项仅供参考，请投标人根据施工组织设计等自行报价。如投标人认为本清单项目不全，可根据实际需要在其他措施费项中报价。
4、投标人报价时应就以上项目进行报价，未填写部分视为已包含在其他费用中；
5、设计变更及签证工程中发生的措施费已包括在上述报价中，实际发生变更签证时不再另行计取措施费；
6、上述投标报价为包含人工、材料、机械、管理费、利润、规费、税金的含税价格。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</si>
</sst>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2]* #,##0.00_ ;_ [$€-2]* \-#,##0.00_ ;_ [$€-2]* &quot;-&quot;??_ "/>
    <numFmt numFmtId="177" formatCode="0.00_);[Red]\(0.00\)"/>
    <numFmt numFmtId="178" formatCode="0_ ;[Red]\-0\ "/>
    <numFmt numFmtId="179" formatCode="0.00_ "/>
  </numFmts>
  <fonts count="55">
    <font>
      <sz val="11"/>
      <color theme="1"/>
      <name val="宋体"/>
      <charset val="134"/>
      <scheme val="minor"/>
    </font>
    <font>
      <sz val="10"/>
      <color theme="1"/>
      <name val="宋体"/>
      <charset val="134"/>
    </font>
    <font>
      <b/>
      <sz val="14"/>
      <name val="宋体"/>
      <charset val="134"/>
    </font>
    <font>
      <b/>
      <sz val="10"/>
      <name val="宋体"/>
      <charset val="134"/>
    </font>
    <font>
      <sz val="10"/>
      <name val="宋体"/>
      <charset val="134"/>
    </font>
    <font>
      <sz val="11"/>
      <name val="宋体"/>
      <charset val="134"/>
    </font>
    <font>
      <sz val="11"/>
      <color rgb="FFFF0000"/>
      <name val="宋体"/>
      <charset val="134"/>
    </font>
    <font>
      <b/>
      <sz val="11"/>
      <name val="微软雅黑"/>
      <charset val="134"/>
    </font>
    <font>
      <b/>
      <sz val="26"/>
      <name val="宋体"/>
      <charset val="134"/>
    </font>
    <font>
      <b/>
      <sz val="18"/>
      <name val="宋体"/>
      <charset val="134"/>
    </font>
    <font>
      <b/>
      <sz val="10"/>
      <name val="微软雅黑"/>
      <charset val="134"/>
    </font>
    <font>
      <b/>
      <sz val="12"/>
      <name val="微软雅黑"/>
      <charset val="134"/>
    </font>
    <font>
      <b/>
      <sz val="16"/>
      <name val="微软雅黑"/>
      <charset val="134"/>
    </font>
    <font>
      <sz val="10"/>
      <name val="微软雅黑"/>
      <charset val="134"/>
    </font>
    <font>
      <sz val="9"/>
      <name val="微软雅黑"/>
      <charset val="134"/>
    </font>
    <font>
      <sz val="12"/>
      <name val="微软雅黑"/>
      <charset val="134"/>
    </font>
    <font>
      <sz val="10"/>
      <color rgb="FFFF0000"/>
      <name val="微软雅黑"/>
      <charset val="134"/>
    </font>
    <font>
      <sz val="9"/>
      <color rgb="FFFF0000"/>
      <name val="微软雅黑"/>
      <charset val="134"/>
    </font>
    <font>
      <sz val="12"/>
      <color rgb="FFFF0000"/>
      <name val="微软雅黑"/>
      <charset val="134"/>
    </font>
    <font>
      <b/>
      <sz val="10"/>
      <color rgb="FFFF0000"/>
      <name val="微软雅黑"/>
      <charset val="134"/>
    </font>
    <font>
      <sz val="10"/>
      <color rgb="FFFF0000"/>
      <name val="宋体"/>
      <charset val="134"/>
    </font>
    <font>
      <sz val="11"/>
      <name val="宋体"/>
      <charset val="134"/>
      <scheme val="minor"/>
    </font>
    <font>
      <sz val="10"/>
      <name val="宋体"/>
      <charset val="134"/>
      <scheme val="minor"/>
    </font>
    <font>
      <sz val="10"/>
      <color rgb="FFFF0000"/>
      <name val="宋体"/>
      <charset val="134"/>
      <scheme val="minor"/>
    </font>
    <font>
      <sz val="11"/>
      <name val="微软雅黑"/>
      <charset val="134"/>
    </font>
    <font>
      <strike/>
      <sz val="10"/>
      <name val="微软雅黑"/>
      <charset val="134"/>
    </font>
    <font>
      <b/>
      <sz val="11"/>
      <name val="宋体"/>
      <charset val="134"/>
    </font>
    <font>
      <b/>
      <sz val="9.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宋体"/>
      <charset val="134"/>
    </font>
    <font>
      <sz val="10"/>
      <name val="Arial Unicode MS"/>
      <charset val="134"/>
    </font>
    <font>
      <sz val="12"/>
      <name val="新細明體"/>
      <charset val="134"/>
    </font>
    <font>
      <vertAlign val="superscript"/>
      <sz val="10"/>
      <name val="微软雅黑"/>
      <charset val="134"/>
    </font>
    <font>
      <sz val="10"/>
      <color indexed="10"/>
      <name val="宋体"/>
      <charset val="134"/>
    </font>
    <font>
      <sz val="9"/>
      <name val="宋体"/>
      <charset val="134"/>
    </font>
    <font>
      <b/>
      <sz val="9"/>
      <name val="宋体"/>
      <charset val="134"/>
    </font>
  </fonts>
  <fills count="38">
    <fill>
      <patternFill patternType="none"/>
    </fill>
    <fill>
      <patternFill patternType="gray125"/>
    </fill>
    <fill>
      <patternFill patternType="solid">
        <fgColor theme="0" tint="-0.249977111117893"/>
        <bgColor indexed="64"/>
      </patternFill>
    </fill>
    <fill>
      <patternFill patternType="solid">
        <fgColor theme="6" tint="0.399975585192419"/>
        <bgColor indexed="64"/>
      </patternFill>
    </fill>
    <fill>
      <patternFill patternType="solid">
        <fgColor theme="0"/>
        <bgColor indexed="64"/>
      </patternFill>
    </fill>
    <fill>
      <patternFill patternType="solid">
        <fgColor theme="4" tint="0.399975585192419"/>
        <bgColor indexed="64"/>
      </patternFill>
    </fill>
    <fill>
      <patternFill patternType="solid">
        <fgColor rgb="FFFFC000"/>
        <bgColor indexed="64"/>
      </patternFill>
    </fill>
    <fill>
      <patternFill patternType="solid">
        <fgColor rgb="FFFF0000"/>
        <bgColor indexed="64"/>
      </patternFill>
    </fill>
    <fill>
      <patternFill patternType="solid">
        <fgColor theme="4" tint="0.399975585192419"/>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9" borderId="7"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8" applyNumberFormat="0" applyFill="0" applyAlignment="0" applyProtection="0">
      <alignment vertical="center"/>
    </xf>
    <xf numFmtId="0" fontId="34" fillId="0" borderId="8" applyNumberFormat="0" applyFill="0" applyAlignment="0" applyProtection="0">
      <alignment vertical="center"/>
    </xf>
    <xf numFmtId="0" fontId="35" fillId="0" borderId="9" applyNumberFormat="0" applyFill="0" applyAlignment="0" applyProtection="0">
      <alignment vertical="center"/>
    </xf>
    <xf numFmtId="0" fontId="35" fillId="0" borderId="0" applyNumberFormat="0" applyFill="0" applyBorder="0" applyAlignment="0" applyProtection="0">
      <alignment vertical="center"/>
    </xf>
    <xf numFmtId="0" fontId="36" fillId="10" borderId="10" applyNumberFormat="0" applyAlignment="0" applyProtection="0">
      <alignment vertical="center"/>
    </xf>
    <xf numFmtId="0" fontId="37" fillId="11" borderId="11" applyNumberFormat="0" applyAlignment="0" applyProtection="0">
      <alignment vertical="center"/>
    </xf>
    <xf numFmtId="0" fontId="38" fillId="11" borderId="10" applyNumberFormat="0" applyAlignment="0" applyProtection="0">
      <alignment vertical="center"/>
    </xf>
    <xf numFmtId="0" fontId="39" fillId="12" borderId="12" applyNumberFormat="0" applyAlignment="0" applyProtection="0">
      <alignment vertical="center"/>
    </xf>
    <xf numFmtId="0" fontId="40" fillId="0" borderId="13" applyNumberFormat="0" applyFill="0" applyAlignment="0" applyProtection="0">
      <alignment vertical="center"/>
    </xf>
    <xf numFmtId="0" fontId="41" fillId="0" borderId="14" applyNumberFormat="0" applyFill="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5" fillId="5"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3" borderId="0" applyNumberFormat="0" applyBorder="0" applyAlignment="0" applyProtection="0">
      <alignment vertical="center"/>
    </xf>
    <xf numFmtId="0" fontId="45"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5" fillId="37" borderId="0" applyNumberFormat="0" applyBorder="0" applyAlignment="0" applyProtection="0">
      <alignment vertical="center"/>
    </xf>
    <xf numFmtId="176" fontId="47" fillId="0" borderId="0"/>
    <xf numFmtId="0" fontId="0" fillId="0" borderId="0"/>
    <xf numFmtId="0" fontId="48" fillId="0" borderId="0">
      <alignment vertical="center"/>
    </xf>
    <xf numFmtId="0" fontId="49" fillId="0" borderId="0">
      <alignment vertical="center"/>
    </xf>
    <xf numFmtId="0" fontId="50" fillId="0" borderId="0"/>
    <xf numFmtId="43" fontId="48" fillId="0" borderId="0" applyFont="0" applyFill="0" applyBorder="0" applyAlignment="0" applyProtection="0">
      <alignment vertical="center"/>
    </xf>
  </cellStyleXfs>
  <cellXfs count="211">
    <xf numFmtId="0" fontId="0" fillId="0" borderId="0" xfId="0">
      <alignment vertical="center"/>
    </xf>
    <xf numFmtId="0" fontId="1" fillId="0" borderId="0" xfId="0" applyFont="1" applyFill="1" applyBorder="1" applyAlignment="1"/>
    <xf numFmtId="0" fontId="1" fillId="0" borderId="0" xfId="0" applyFont="1" applyFill="1" applyBorder="1" applyAlignment="1">
      <alignment horizontal="left"/>
    </xf>
    <xf numFmtId="0" fontId="2" fillId="0" borderId="0" xfId="53" applyFont="1" applyFill="1" applyBorder="1" applyAlignment="1" applyProtection="1">
      <alignment horizontal="center" vertical="center" wrapText="1"/>
    </xf>
    <xf numFmtId="0" fontId="2" fillId="0" borderId="0" xfId="53" applyFont="1" applyFill="1" applyBorder="1" applyAlignment="1" applyProtection="1">
      <alignment horizontal="left" vertical="center" wrapText="1"/>
    </xf>
    <xf numFmtId="0" fontId="3" fillId="2" borderId="1" xfId="53" applyFont="1" applyFill="1" applyBorder="1" applyAlignment="1" applyProtection="1">
      <alignment horizontal="center" vertical="center" wrapText="1"/>
    </xf>
    <xf numFmtId="0" fontId="3" fillId="2" borderId="2" xfId="53" applyFont="1" applyFill="1" applyBorder="1" applyAlignment="1" applyProtection="1">
      <alignment horizontal="center" vertical="center" wrapText="1"/>
    </xf>
    <xf numFmtId="43" fontId="3" fillId="2" borderId="1" xfId="54" applyFont="1" applyFill="1" applyBorder="1" applyAlignment="1" applyProtection="1">
      <alignment horizontal="center" vertical="center" wrapText="1"/>
    </xf>
    <xf numFmtId="0" fontId="4" fillId="0" borderId="1" xfId="53" applyFont="1" applyFill="1" applyBorder="1" applyAlignment="1" applyProtection="1">
      <alignment horizontal="center" vertical="center" wrapText="1"/>
    </xf>
    <xf numFmtId="0" fontId="4" fillId="0" borderId="1" xfId="53" applyFont="1" applyFill="1" applyBorder="1" applyAlignment="1" applyProtection="1">
      <alignment vertical="center" wrapText="1"/>
    </xf>
    <xf numFmtId="0" fontId="4" fillId="0" borderId="1" xfId="53" applyFont="1" applyFill="1" applyBorder="1" applyAlignment="1" applyProtection="1">
      <alignment horizontal="left" vertical="center" wrapText="1"/>
    </xf>
    <xf numFmtId="43" fontId="4" fillId="0" borderId="1" xfId="54" applyFont="1" applyFill="1" applyBorder="1" applyAlignment="1" applyProtection="1">
      <alignment horizontal="center" vertical="center" wrapText="1"/>
    </xf>
    <xf numFmtId="0" fontId="1" fillId="0" borderId="0" xfId="0" applyFont="1" applyFill="1" applyBorder="1" applyAlignment="1">
      <alignment wrapText="1"/>
    </xf>
    <xf numFmtId="0" fontId="1" fillId="0" borderId="0" xfId="0" applyFont="1" applyFill="1" applyBorder="1" applyAlignment="1">
      <alignment horizontal="left" vertical="top" wrapText="1"/>
    </xf>
    <xf numFmtId="0" fontId="5" fillId="3" borderId="0" xfId="0" applyFont="1" applyFill="1" applyBorder="1" applyAlignment="1">
      <alignment vertical="center"/>
    </xf>
    <xf numFmtId="0" fontId="6" fillId="0" borderId="0" xfId="0" applyFont="1" applyFill="1" applyBorder="1" applyAlignment="1">
      <alignment vertical="center"/>
    </xf>
    <xf numFmtId="49" fontId="5" fillId="0" borderId="0" xfId="0" applyNumberFormat="1" applyFont="1" applyFill="1" applyBorder="1" applyAlignment="1">
      <alignment vertical="center"/>
    </xf>
    <xf numFmtId="0" fontId="5" fillId="0" borderId="0" xfId="0" applyFont="1" applyFill="1" applyBorder="1" applyAlignment="1">
      <alignment vertical="center"/>
    </xf>
    <xf numFmtId="0" fontId="5" fillId="0" borderId="0" xfId="0" applyFont="1" applyFill="1" applyBorder="1" applyAlignment="1">
      <alignment horizontal="center" vertical="center"/>
    </xf>
    <xf numFmtId="177" fontId="5" fillId="0" borderId="0" xfId="0" applyNumberFormat="1" applyFont="1" applyFill="1" applyBorder="1" applyAlignment="1">
      <alignment vertical="center"/>
    </xf>
    <xf numFmtId="0" fontId="7" fillId="0" borderId="0" xfId="0" applyNumberFormat="1" applyFont="1" applyFill="1" applyBorder="1" applyAlignment="1">
      <alignment horizontal="center" vertical="center"/>
    </xf>
    <xf numFmtId="178" fontId="5" fillId="4" borderId="0" xfId="0" applyNumberFormat="1" applyFont="1" applyFill="1" applyBorder="1" applyAlignment="1">
      <alignment horizontal="center" vertical="center"/>
    </xf>
    <xf numFmtId="177" fontId="5" fillId="5" borderId="0" xfId="0" applyNumberFormat="1" applyFont="1" applyFill="1" applyBorder="1" applyAlignment="1">
      <alignment horizontal="center" vertical="center"/>
    </xf>
    <xf numFmtId="0" fontId="4" fillId="4" borderId="0" xfId="0" applyFont="1" applyFill="1" applyBorder="1" applyAlignment="1">
      <alignment vertical="center" wrapText="1"/>
    </xf>
    <xf numFmtId="0" fontId="8" fillId="0" borderId="0" xfId="0" applyNumberFormat="1" applyFont="1" applyFill="1" applyAlignment="1">
      <alignment horizontal="center" vertical="center" wrapText="1"/>
    </xf>
    <xf numFmtId="0" fontId="9" fillId="0" borderId="0" xfId="0" applyNumberFormat="1" applyFont="1" applyFill="1" applyBorder="1" applyAlignment="1">
      <alignment horizontal="center" vertical="center"/>
    </xf>
    <xf numFmtId="0" fontId="9" fillId="6" borderId="0" xfId="0" applyNumberFormat="1" applyFont="1" applyFill="1" applyAlignment="1">
      <alignment horizontal="center" vertical="center"/>
    </xf>
    <xf numFmtId="178" fontId="10" fillId="7" borderId="3" xfId="0" applyNumberFormat="1" applyFont="1" applyFill="1" applyBorder="1" applyAlignment="1">
      <alignment horizontal="center" vertical="center" wrapText="1"/>
    </xf>
    <xf numFmtId="178" fontId="10" fillId="7" borderId="4" xfId="0" applyNumberFormat="1" applyFont="1" applyFill="1" applyBorder="1" applyAlignment="1">
      <alignment horizontal="center" vertical="center" wrapText="1"/>
    </xf>
    <xf numFmtId="178" fontId="10" fillId="7" borderId="5" xfId="0" applyNumberFormat="1" applyFont="1" applyFill="1" applyBorder="1" applyAlignment="1">
      <alignment horizontal="center" vertical="center" wrapText="1"/>
    </xf>
    <xf numFmtId="177" fontId="5" fillId="0" borderId="0" xfId="0" applyNumberFormat="1" applyFont="1" applyFill="1" applyBorder="1" applyAlignment="1">
      <alignment horizontal="center" vertical="center"/>
    </xf>
    <xf numFmtId="49" fontId="10" fillId="0" borderId="1" xfId="0" applyNumberFormat="1" applyFont="1" applyFill="1" applyBorder="1" applyAlignment="1" applyProtection="1">
      <alignment horizontal="center" vertical="center" wrapText="1"/>
    </xf>
    <xf numFmtId="0" fontId="10" fillId="0" borderId="1" xfId="0" applyNumberFormat="1" applyFont="1" applyFill="1" applyBorder="1" applyAlignment="1" applyProtection="1">
      <alignment horizontal="center" vertical="center" wrapText="1"/>
    </xf>
    <xf numFmtId="0" fontId="10" fillId="0" borderId="1" xfId="0" applyFont="1" applyFill="1" applyBorder="1" applyAlignment="1">
      <alignment horizontal="center" vertical="center"/>
    </xf>
    <xf numFmtId="177" fontId="10" fillId="0" borderId="1" xfId="0" applyNumberFormat="1" applyFont="1" applyFill="1" applyBorder="1" applyAlignment="1">
      <alignment vertical="center" wrapText="1"/>
    </xf>
    <xf numFmtId="177" fontId="10" fillId="0" borderId="1" xfId="0" applyNumberFormat="1" applyFont="1" applyFill="1" applyBorder="1" applyAlignment="1" applyProtection="1">
      <alignment horizontal="center" vertical="center" wrapText="1"/>
    </xf>
    <xf numFmtId="0" fontId="10" fillId="0" borderId="1" xfId="0" applyNumberFormat="1" applyFont="1" applyFill="1" applyBorder="1" applyAlignment="1">
      <alignment horizontal="center" vertical="center" wrapText="1"/>
    </xf>
    <xf numFmtId="0" fontId="10" fillId="0" borderId="3" xfId="0" applyNumberFormat="1" applyFont="1" applyFill="1" applyBorder="1" applyAlignment="1" applyProtection="1">
      <alignment horizontal="center" vertical="center" wrapText="1"/>
    </xf>
    <xf numFmtId="178" fontId="10" fillId="4" borderId="3" xfId="0" applyNumberFormat="1" applyFont="1" applyFill="1" applyBorder="1" applyAlignment="1">
      <alignment horizontal="center" vertical="center" wrapText="1"/>
    </xf>
    <xf numFmtId="178" fontId="10" fillId="4" borderId="4" xfId="0" applyNumberFormat="1" applyFont="1" applyFill="1" applyBorder="1" applyAlignment="1">
      <alignment horizontal="center" vertical="center" wrapText="1"/>
    </xf>
    <xf numFmtId="178" fontId="10" fillId="4" borderId="5" xfId="0" applyNumberFormat="1" applyFont="1" applyFill="1" applyBorder="1" applyAlignment="1">
      <alignment horizontal="center" vertical="center" wrapText="1"/>
    </xf>
    <xf numFmtId="177" fontId="7" fillId="5" borderId="1" xfId="0" applyNumberFormat="1" applyFont="1" applyFill="1" applyBorder="1" applyAlignment="1">
      <alignment horizontal="center" vertical="center" wrapText="1"/>
    </xf>
    <xf numFmtId="0" fontId="10" fillId="4" borderId="1" xfId="0" applyNumberFormat="1" applyFont="1" applyFill="1" applyBorder="1" applyAlignment="1" applyProtection="1">
      <alignment horizontal="center" vertical="center" wrapText="1"/>
    </xf>
    <xf numFmtId="0" fontId="11" fillId="3" borderId="4" xfId="0" applyNumberFormat="1" applyFont="1" applyFill="1" applyBorder="1" applyAlignment="1" applyProtection="1">
      <alignment horizontal="center" vertical="center" wrapText="1"/>
    </xf>
    <xf numFmtId="0" fontId="12" fillId="3" borderId="6" xfId="0" applyNumberFormat="1" applyFont="1" applyFill="1" applyBorder="1" applyAlignment="1" applyProtection="1">
      <alignment vertical="center" wrapText="1"/>
    </xf>
    <xf numFmtId="178" fontId="12" fillId="2" borderId="6" xfId="0" applyNumberFormat="1" applyFont="1" applyFill="1" applyBorder="1" applyAlignment="1" applyProtection="1">
      <alignment horizontal="center" vertical="center" wrapText="1"/>
    </xf>
    <xf numFmtId="177" fontId="7" fillId="5" borderId="6" xfId="0" applyNumberFormat="1" applyFont="1" applyFill="1" applyBorder="1" applyAlignment="1" applyProtection="1">
      <alignment horizontal="center" vertical="center" wrapText="1"/>
    </xf>
    <xf numFmtId="0" fontId="10" fillId="2" borderId="6" xfId="0" applyNumberFormat="1" applyFont="1" applyFill="1" applyBorder="1" applyAlignment="1" applyProtection="1">
      <alignment vertical="center" wrapText="1"/>
    </xf>
    <xf numFmtId="49" fontId="13" fillId="0" borderId="1" xfId="0" applyNumberFormat="1" applyFont="1" applyFill="1" applyBorder="1" applyAlignment="1" applyProtection="1">
      <alignment horizontal="center" vertical="center" wrapText="1"/>
    </xf>
    <xf numFmtId="0" fontId="13" fillId="0" borderId="1" xfId="0" applyNumberFormat="1" applyFont="1" applyFill="1" applyBorder="1" applyAlignment="1" applyProtection="1">
      <alignment horizontal="left" vertical="center" wrapText="1"/>
    </xf>
    <xf numFmtId="0" fontId="13" fillId="0" borderId="1" xfId="0" applyNumberFormat="1" applyFont="1" applyFill="1" applyBorder="1" applyAlignment="1" applyProtection="1">
      <alignment horizontal="center" vertical="center" wrapText="1"/>
    </xf>
    <xf numFmtId="0" fontId="14" fillId="0" borderId="1" xfId="0" applyNumberFormat="1" applyFont="1" applyFill="1" applyBorder="1" applyAlignment="1" applyProtection="1">
      <alignment horizontal="center" vertical="center" wrapText="1"/>
    </xf>
    <xf numFmtId="0" fontId="14" fillId="0" borderId="1" xfId="0" applyFont="1" applyFill="1" applyBorder="1" applyAlignment="1">
      <alignment horizontal="left" vertical="center" wrapText="1"/>
    </xf>
    <xf numFmtId="0" fontId="15" fillId="0" borderId="1" xfId="0" applyNumberFormat="1" applyFont="1" applyFill="1" applyBorder="1" applyAlignment="1">
      <alignment horizontal="center" vertical="center" wrapText="1"/>
    </xf>
    <xf numFmtId="177" fontId="13" fillId="0" borderId="1" xfId="0" applyNumberFormat="1" applyFont="1" applyFill="1" applyBorder="1" applyAlignment="1" applyProtection="1">
      <alignment horizontal="center" vertical="center" wrapText="1"/>
    </xf>
    <xf numFmtId="177" fontId="13" fillId="0" borderId="1" xfId="0" applyNumberFormat="1" applyFont="1" applyFill="1" applyBorder="1" applyAlignment="1">
      <alignment horizontal="center" vertical="center" wrapText="1"/>
    </xf>
    <xf numFmtId="0" fontId="13" fillId="0" borderId="3" xfId="0" applyNumberFormat="1" applyFont="1" applyFill="1" applyBorder="1" applyAlignment="1" applyProtection="1">
      <alignment horizontal="left" vertical="center" wrapText="1"/>
    </xf>
    <xf numFmtId="178" fontId="5" fillId="4" borderId="1" xfId="0" applyNumberFormat="1" applyFont="1" applyFill="1" applyBorder="1" applyAlignment="1">
      <alignment horizontal="center" vertical="center"/>
    </xf>
    <xf numFmtId="177" fontId="5" fillId="5" borderId="1" xfId="0" applyNumberFormat="1" applyFont="1" applyFill="1" applyBorder="1" applyAlignment="1">
      <alignment horizontal="center" vertical="center"/>
    </xf>
    <xf numFmtId="0" fontId="4" fillId="4" borderId="1" xfId="0" applyFont="1" applyFill="1" applyBorder="1" applyAlignment="1">
      <alignment vertical="center" wrapText="1"/>
    </xf>
    <xf numFmtId="0" fontId="14" fillId="0" borderId="1" xfId="0" applyNumberFormat="1" applyFont="1" applyFill="1" applyBorder="1" applyAlignment="1" applyProtection="1">
      <alignment horizontal="left" vertical="center" wrapText="1"/>
    </xf>
    <xf numFmtId="177" fontId="13" fillId="0" borderId="1" xfId="1" applyNumberFormat="1" applyFont="1" applyFill="1" applyBorder="1" applyAlignment="1" applyProtection="1">
      <alignment horizontal="center" vertical="center" wrapText="1"/>
    </xf>
    <xf numFmtId="0" fontId="14" fillId="0" borderId="3" xfId="0" applyNumberFormat="1" applyFont="1" applyFill="1" applyBorder="1" applyAlignment="1" applyProtection="1">
      <alignment horizontal="left" vertical="center" wrapText="1"/>
    </xf>
    <xf numFmtId="0" fontId="13" fillId="0" borderId="1" xfId="0" applyNumberFormat="1" applyFont="1" applyFill="1" applyBorder="1" applyAlignment="1">
      <alignment horizontal="left" vertical="center" wrapText="1"/>
    </xf>
    <xf numFmtId="0" fontId="14" fillId="0" borderId="1" xfId="0" applyNumberFormat="1" applyFont="1" applyFill="1" applyBorder="1" applyAlignment="1">
      <alignment horizontal="left" vertical="center" wrapText="1"/>
    </xf>
    <xf numFmtId="0" fontId="14" fillId="0" borderId="1" xfId="0" applyNumberFormat="1" applyFont="1" applyFill="1" applyBorder="1" applyAlignment="1">
      <alignment horizontal="center" vertical="center" wrapText="1"/>
    </xf>
    <xf numFmtId="0" fontId="13" fillId="0" borderId="3" xfId="0" applyNumberFormat="1" applyFont="1" applyFill="1" applyBorder="1" applyAlignment="1">
      <alignment horizontal="left" vertical="center" wrapText="1"/>
    </xf>
    <xf numFmtId="0" fontId="13" fillId="0" borderId="3" xfId="0" applyNumberFormat="1" applyFont="1" applyFill="1" applyBorder="1" applyAlignment="1">
      <alignment vertical="center" wrapText="1"/>
    </xf>
    <xf numFmtId="0" fontId="13" fillId="0" borderId="1" xfId="0" applyNumberFormat="1" applyFont="1" applyFill="1" applyBorder="1" applyAlignment="1">
      <alignment vertical="center" wrapText="1"/>
    </xf>
    <xf numFmtId="0" fontId="13" fillId="0" borderId="1" xfId="0" applyNumberFormat="1" applyFont="1" applyFill="1" applyBorder="1" applyAlignment="1">
      <alignment horizontal="center" vertical="center" wrapText="1"/>
    </xf>
    <xf numFmtId="0" fontId="13" fillId="0" borderId="1" xfId="0" applyFont="1" applyFill="1" applyBorder="1" applyAlignment="1">
      <alignment horizontal="left" vertical="center" wrapText="1"/>
    </xf>
    <xf numFmtId="0" fontId="13" fillId="0" borderId="1" xfId="0" applyFont="1" applyFill="1" applyBorder="1" applyAlignment="1">
      <alignment horizontal="center" vertical="center" wrapText="1"/>
    </xf>
    <xf numFmtId="0" fontId="13" fillId="0" borderId="3" xfId="0" applyFont="1" applyFill="1" applyBorder="1" applyAlignment="1">
      <alignment horizontal="left" vertical="center"/>
    </xf>
    <xf numFmtId="0" fontId="14" fillId="0" borderId="3" xfId="0" applyNumberFormat="1" applyFont="1" applyFill="1" applyBorder="1" applyAlignment="1">
      <alignment horizontal="left" vertical="center" wrapText="1"/>
    </xf>
    <xf numFmtId="177" fontId="13" fillId="0" borderId="1" xfId="0" applyNumberFormat="1" applyFont="1" applyFill="1" applyBorder="1" applyAlignment="1">
      <alignment horizontal="right" vertical="center"/>
    </xf>
    <xf numFmtId="177" fontId="13" fillId="0" borderId="1" xfId="0" applyNumberFormat="1" applyFont="1" applyFill="1" applyBorder="1" applyAlignment="1">
      <alignment horizontal="left" vertical="center" wrapText="1"/>
    </xf>
    <xf numFmtId="177" fontId="14" fillId="0" borderId="1" xfId="0" applyNumberFormat="1" applyFont="1" applyFill="1" applyBorder="1" applyAlignment="1">
      <alignment horizontal="center" vertical="center" wrapText="1"/>
    </xf>
    <xf numFmtId="177" fontId="15" fillId="0" borderId="1" xfId="0" applyNumberFormat="1" applyFont="1" applyFill="1" applyBorder="1" applyAlignment="1">
      <alignment horizontal="center" vertical="center" wrapText="1"/>
    </xf>
    <xf numFmtId="177" fontId="13" fillId="0" borderId="1" xfId="0" applyNumberFormat="1" applyFont="1" applyFill="1" applyBorder="1" applyAlignment="1">
      <alignment horizontal="left" vertical="center"/>
    </xf>
    <xf numFmtId="177" fontId="13" fillId="0" borderId="1" xfId="0" applyNumberFormat="1" applyFont="1" applyFill="1" applyBorder="1" applyAlignment="1">
      <alignment horizontal="center" vertical="center"/>
    </xf>
    <xf numFmtId="0" fontId="11" fillId="3" borderId="3" xfId="0" applyFont="1" applyFill="1" applyBorder="1" applyAlignment="1" applyProtection="1">
      <alignment horizontal="center" vertical="center" wrapText="1"/>
    </xf>
    <xf numFmtId="0" fontId="11" fillId="3" borderId="4" xfId="0" applyFont="1" applyFill="1" applyBorder="1" applyAlignment="1" applyProtection="1">
      <alignment horizontal="center" vertical="center" wrapText="1"/>
    </xf>
    <xf numFmtId="0" fontId="11" fillId="3" borderId="5" xfId="0" applyFont="1" applyFill="1" applyBorder="1" applyAlignment="1" applyProtection="1">
      <alignment horizontal="center" vertical="center" wrapText="1"/>
    </xf>
    <xf numFmtId="0" fontId="12" fillId="3" borderId="1" xfId="0" applyFont="1" applyFill="1" applyBorder="1" applyAlignment="1" applyProtection="1">
      <alignment vertical="center" wrapText="1"/>
    </xf>
    <xf numFmtId="0" fontId="12" fillId="3" borderId="3" xfId="0" applyFont="1" applyFill="1" applyBorder="1" applyAlignment="1" applyProtection="1">
      <alignment vertical="center" wrapText="1"/>
    </xf>
    <xf numFmtId="177" fontId="7" fillId="5" borderId="3" xfId="0" applyNumberFormat="1" applyFont="1" applyFill="1" applyBorder="1" applyAlignment="1" applyProtection="1">
      <alignment horizontal="center" vertical="center" wrapText="1"/>
    </xf>
    <xf numFmtId="0" fontId="10" fillId="4" borderId="6" xfId="0" applyNumberFormat="1" applyFont="1" applyFill="1" applyBorder="1" applyAlignment="1" applyProtection="1">
      <alignment vertical="center" wrapText="1"/>
    </xf>
    <xf numFmtId="49" fontId="13"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3" xfId="0" applyFont="1" applyFill="1" applyBorder="1" applyAlignment="1">
      <alignment horizontal="left" vertical="center" wrapText="1"/>
    </xf>
    <xf numFmtId="49" fontId="16" fillId="0" borderId="1" xfId="0" applyNumberFormat="1" applyFont="1" applyFill="1" applyBorder="1" applyAlignment="1">
      <alignment horizontal="center" vertical="center" wrapText="1"/>
    </xf>
    <xf numFmtId="0" fontId="16" fillId="0" borderId="1" xfId="0" applyFont="1" applyFill="1" applyBorder="1" applyAlignment="1">
      <alignment horizontal="left" vertical="center" wrapText="1"/>
    </xf>
    <xf numFmtId="0" fontId="17" fillId="0" borderId="1"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18" fillId="0" borderId="1" xfId="0" applyNumberFormat="1" applyFont="1" applyFill="1" applyBorder="1" applyAlignment="1">
      <alignment horizontal="center" vertical="center" wrapText="1"/>
    </xf>
    <xf numFmtId="177" fontId="16" fillId="0" borderId="1" xfId="0" applyNumberFormat="1" applyFont="1" applyFill="1" applyBorder="1" applyAlignment="1">
      <alignment horizontal="center" vertical="center" wrapText="1"/>
    </xf>
    <xf numFmtId="0" fontId="19" fillId="0" borderId="1" xfId="0" applyNumberFormat="1" applyFont="1" applyFill="1" applyBorder="1" applyAlignment="1">
      <alignment horizontal="center" vertical="center" wrapText="1"/>
    </xf>
    <xf numFmtId="0" fontId="17" fillId="0" borderId="3" xfId="0" applyFont="1" applyFill="1" applyBorder="1" applyAlignment="1">
      <alignment horizontal="left" vertical="center" wrapText="1"/>
    </xf>
    <xf numFmtId="0" fontId="20" fillId="4" borderId="1" xfId="0" applyFont="1" applyFill="1" applyBorder="1" applyAlignment="1">
      <alignment vertical="center" wrapText="1"/>
    </xf>
    <xf numFmtId="0" fontId="13" fillId="0" borderId="3" xfId="0" applyFont="1" applyFill="1" applyBorder="1" applyAlignment="1">
      <alignment horizontal="left" vertical="center" wrapText="1"/>
    </xf>
    <xf numFmtId="179" fontId="15"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177" fontId="21" fillId="8" borderId="1" xfId="49" applyNumberFormat="1" applyFont="1" applyFill="1" applyBorder="1" applyAlignment="1">
      <alignment horizontal="center" vertical="center" wrapText="1"/>
    </xf>
    <xf numFmtId="177" fontId="13" fillId="0" borderId="1" xfId="0" applyNumberFormat="1" applyFont="1" applyFill="1" applyBorder="1" applyAlignment="1">
      <alignment vertical="center"/>
    </xf>
    <xf numFmtId="0" fontId="13" fillId="0" borderId="1" xfId="0" applyFont="1" applyFill="1" applyBorder="1" applyAlignment="1">
      <alignment vertical="center" wrapText="1"/>
    </xf>
    <xf numFmtId="0" fontId="13" fillId="0" borderId="3" xfId="0" applyFont="1" applyFill="1" applyBorder="1" applyAlignment="1">
      <alignment vertical="center" wrapText="1"/>
    </xf>
    <xf numFmtId="49" fontId="10" fillId="0" borderId="1"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5" xfId="0" applyNumberFormat="1" applyFont="1" applyFill="1" applyBorder="1" applyAlignment="1">
      <alignment horizontal="center" vertical="center" wrapText="1"/>
    </xf>
    <xf numFmtId="0" fontId="13" fillId="0" borderId="1" xfId="0" applyFont="1" applyFill="1" applyBorder="1" applyAlignment="1">
      <alignment vertical="center"/>
    </xf>
    <xf numFmtId="0" fontId="13" fillId="0" borderId="3" xfId="0" applyFont="1" applyFill="1" applyBorder="1" applyAlignment="1">
      <alignment vertical="center"/>
    </xf>
    <xf numFmtId="0" fontId="14" fillId="0" borderId="3" xfId="0" applyNumberFormat="1" applyFont="1" applyFill="1" applyBorder="1" applyAlignment="1">
      <alignment vertical="center" wrapText="1"/>
    </xf>
    <xf numFmtId="0" fontId="14" fillId="0" borderId="1" xfId="0" applyNumberFormat="1" applyFont="1" applyFill="1" applyBorder="1" applyAlignment="1">
      <alignment vertical="center" wrapText="1"/>
    </xf>
    <xf numFmtId="0" fontId="14" fillId="0" borderId="3" xfId="0" applyFont="1" applyFill="1" applyBorder="1" applyAlignment="1">
      <alignment vertical="center" wrapText="1"/>
    </xf>
    <xf numFmtId="0" fontId="16" fillId="0" borderId="1" xfId="0" applyNumberFormat="1" applyFont="1" applyFill="1" applyBorder="1" applyAlignment="1">
      <alignment vertical="center" wrapText="1"/>
    </xf>
    <xf numFmtId="0" fontId="16" fillId="0" borderId="1" xfId="0" applyNumberFormat="1" applyFont="1" applyFill="1" applyBorder="1" applyAlignment="1">
      <alignment horizontal="left" vertical="center" wrapText="1"/>
    </xf>
    <xf numFmtId="0" fontId="16" fillId="0" borderId="1" xfId="0" applyNumberFormat="1" applyFont="1" applyFill="1" applyBorder="1" applyAlignment="1">
      <alignment horizontal="center" vertical="center" wrapText="1"/>
    </xf>
    <xf numFmtId="177" fontId="16" fillId="0" borderId="1" xfId="0" applyNumberFormat="1" applyFont="1" applyFill="1" applyBorder="1" applyAlignment="1">
      <alignment horizontal="center" vertical="center"/>
    </xf>
    <xf numFmtId="0" fontId="19" fillId="0" borderId="1" xfId="0" applyNumberFormat="1" applyFont="1" applyFill="1" applyBorder="1" applyAlignment="1">
      <alignment horizontal="center" vertical="center"/>
    </xf>
    <xf numFmtId="0" fontId="16" fillId="0" borderId="3" xfId="0" applyNumberFormat="1" applyFont="1" applyFill="1" applyBorder="1" applyAlignment="1">
      <alignment vertical="center" wrapText="1"/>
    </xf>
    <xf numFmtId="0" fontId="22" fillId="0" borderId="1" xfId="0" applyNumberFormat="1" applyFont="1" applyFill="1" applyBorder="1" applyAlignment="1">
      <alignment horizontal="left" vertical="center" wrapText="1"/>
    </xf>
    <xf numFmtId="0" fontId="23" fillId="0" borderId="1" xfId="0" applyNumberFormat="1" applyFont="1" applyFill="1" applyBorder="1" applyAlignment="1">
      <alignment horizontal="left" vertical="center" wrapText="1"/>
    </xf>
    <xf numFmtId="0" fontId="17" fillId="0" borderId="1" xfId="0" applyNumberFormat="1" applyFont="1" applyFill="1" applyBorder="1" applyAlignment="1">
      <alignment vertical="center" wrapText="1"/>
    </xf>
    <xf numFmtId="0" fontId="17" fillId="0" borderId="1" xfId="0" applyNumberFormat="1" applyFont="1" applyFill="1" applyBorder="1" applyAlignment="1">
      <alignment horizontal="left" vertical="center" wrapText="1"/>
    </xf>
    <xf numFmtId="177" fontId="16" fillId="0" borderId="1" xfId="0" applyNumberFormat="1" applyFont="1" applyFill="1" applyBorder="1" applyAlignment="1" applyProtection="1">
      <alignment horizontal="center" vertical="center" wrapText="1"/>
    </xf>
    <xf numFmtId="0" fontId="16" fillId="0" borderId="1" xfId="0" applyFont="1" applyFill="1" applyBorder="1" applyAlignment="1">
      <alignment vertical="center" wrapText="1"/>
    </xf>
    <xf numFmtId="0" fontId="16" fillId="0" borderId="1" xfId="0" applyFont="1" applyFill="1" applyBorder="1" applyAlignment="1">
      <alignment horizontal="center" vertical="center" wrapText="1"/>
    </xf>
    <xf numFmtId="177" fontId="6" fillId="5" borderId="1" xfId="0" applyNumberFormat="1" applyFont="1" applyFill="1" applyBorder="1" applyAlignment="1">
      <alignment horizontal="center" vertical="center"/>
    </xf>
    <xf numFmtId="0" fontId="10" fillId="0" borderId="1" xfId="0" applyNumberFormat="1" applyFont="1" applyFill="1" applyBorder="1" applyAlignment="1">
      <alignment vertical="center" wrapText="1"/>
    </xf>
    <xf numFmtId="0" fontId="10" fillId="0" borderId="3" xfId="0" applyNumberFormat="1" applyFont="1" applyFill="1" applyBorder="1" applyAlignment="1">
      <alignment vertical="center" wrapText="1"/>
    </xf>
    <xf numFmtId="0" fontId="16" fillId="0" borderId="3" xfId="0" applyFont="1" applyFill="1" applyBorder="1" applyAlignment="1">
      <alignment horizontal="left" vertical="center" wrapText="1"/>
    </xf>
    <xf numFmtId="0" fontId="11" fillId="3" borderId="3" xfId="0" applyNumberFormat="1" applyFont="1" applyFill="1" applyBorder="1" applyAlignment="1" applyProtection="1">
      <alignment horizontal="center" vertical="center" wrapText="1"/>
    </xf>
    <xf numFmtId="0" fontId="11" fillId="3" borderId="5" xfId="0" applyNumberFormat="1" applyFont="1" applyFill="1" applyBorder="1" applyAlignment="1" applyProtection="1">
      <alignment horizontal="center" vertical="center" wrapText="1"/>
    </xf>
    <xf numFmtId="0" fontId="12" fillId="3" borderId="1" xfId="0" applyNumberFormat="1" applyFont="1" applyFill="1" applyBorder="1" applyAlignment="1" applyProtection="1">
      <alignment vertical="center" wrapText="1"/>
    </xf>
    <xf numFmtId="0" fontId="12" fillId="3" borderId="3" xfId="0" applyNumberFormat="1" applyFont="1" applyFill="1" applyBorder="1" applyAlignment="1" applyProtection="1">
      <alignment vertical="center" wrapText="1"/>
    </xf>
    <xf numFmtId="177" fontId="24" fillId="5" borderId="1" xfId="0" applyNumberFormat="1" applyFont="1" applyFill="1" applyBorder="1" applyAlignment="1">
      <alignment horizontal="center" vertical="center"/>
    </xf>
    <xf numFmtId="177" fontId="5" fillId="0" borderId="1" xfId="0" applyNumberFormat="1" applyFont="1" applyFill="1" applyBorder="1" applyAlignment="1">
      <alignment vertical="center"/>
    </xf>
    <xf numFmtId="0" fontId="7" fillId="0" borderId="1" xfId="0" applyNumberFormat="1" applyFont="1" applyFill="1" applyBorder="1" applyAlignment="1">
      <alignment horizontal="center" vertical="center"/>
    </xf>
    <xf numFmtId="0" fontId="5" fillId="0" borderId="3" xfId="0" applyFont="1" applyFill="1" applyBorder="1" applyAlignment="1">
      <alignment vertical="center"/>
    </xf>
    <xf numFmtId="0" fontId="5" fillId="0" borderId="1" xfId="0" applyFont="1" applyFill="1" applyBorder="1" applyAlignment="1">
      <alignment vertical="center"/>
    </xf>
    <xf numFmtId="0" fontId="5" fillId="0" borderId="1" xfId="0" applyFont="1" applyFill="1" applyBorder="1" applyAlignment="1">
      <alignment horizontal="center" vertical="center"/>
    </xf>
    <xf numFmtId="0" fontId="13" fillId="0" borderId="1" xfId="50" applyFont="1" applyFill="1" applyBorder="1" applyAlignment="1">
      <alignment vertical="center" wrapText="1"/>
    </xf>
    <xf numFmtId="0" fontId="24" fillId="0" borderId="1" xfId="51" applyFont="1" applyFill="1" applyBorder="1" applyAlignment="1">
      <alignment horizontal="left" vertical="center" wrapText="1"/>
    </xf>
    <xf numFmtId="177" fontId="5" fillId="0" borderId="1" xfId="0" applyNumberFormat="1" applyFont="1" applyFill="1" applyBorder="1" applyAlignment="1">
      <alignment horizontal="center" vertical="center"/>
    </xf>
    <xf numFmtId="0" fontId="5" fillId="0" borderId="3" xfId="0" applyFont="1" applyFill="1" applyBorder="1" applyAlignment="1">
      <alignment vertical="center" wrapText="1"/>
    </xf>
    <xf numFmtId="0" fontId="15" fillId="3" borderId="1" xfId="0" applyFont="1" applyFill="1" applyBorder="1" applyAlignment="1">
      <alignment vertical="center"/>
    </xf>
    <xf numFmtId="0" fontId="15" fillId="3" borderId="3" xfId="0" applyFont="1" applyFill="1" applyBorder="1" applyAlignment="1">
      <alignment vertical="center"/>
    </xf>
    <xf numFmtId="177" fontId="13" fillId="0" borderId="3" xfId="0" applyNumberFormat="1" applyFont="1" applyFill="1" applyBorder="1" applyAlignment="1">
      <alignment horizontal="center" vertical="center"/>
    </xf>
    <xf numFmtId="0" fontId="25" fillId="0" borderId="3" xfId="0" applyFont="1" applyFill="1" applyBorder="1" applyAlignment="1">
      <alignment horizontal="left" vertical="center" wrapText="1"/>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2" fillId="3" borderId="1" xfId="0" applyFont="1" applyFill="1" applyBorder="1" applyAlignment="1">
      <alignment vertical="center"/>
    </xf>
    <xf numFmtId="0" fontId="12" fillId="3" borderId="3" xfId="0" applyFont="1" applyFill="1" applyBorder="1" applyAlignment="1">
      <alignment vertical="center"/>
    </xf>
    <xf numFmtId="177" fontId="7" fillId="5" borderId="1" xfId="0" applyNumberFormat="1" applyFont="1" applyFill="1" applyBorder="1" applyAlignment="1">
      <alignment horizontal="center" vertical="center"/>
    </xf>
    <xf numFmtId="49" fontId="5" fillId="0" borderId="1" xfId="0" applyNumberFormat="1" applyFont="1" applyFill="1" applyBorder="1" applyAlignment="1">
      <alignment vertical="center" wrapText="1"/>
    </xf>
    <xf numFmtId="0" fontId="26" fillId="0" borderId="1" xfId="0" applyFont="1" applyFill="1" applyBorder="1" applyAlignment="1">
      <alignment horizontal="center" vertical="center" wrapText="1"/>
    </xf>
    <xf numFmtId="0" fontId="10" fillId="0" borderId="1" xfId="0" applyFont="1" applyFill="1" applyBorder="1" applyAlignment="1">
      <alignment vertical="center" wrapText="1"/>
    </xf>
    <xf numFmtId="49" fontId="26" fillId="0" borderId="1" xfId="0" applyNumberFormat="1" applyFont="1" applyFill="1" applyBorder="1" applyAlignment="1">
      <alignment horizontal="center" vertical="center" wrapText="1"/>
    </xf>
    <xf numFmtId="0" fontId="26"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1" fontId="10" fillId="0" borderId="1" xfId="0" applyNumberFormat="1" applyFont="1" applyFill="1" applyBorder="1" applyAlignment="1">
      <alignment horizontal="center" vertical="center"/>
    </xf>
    <xf numFmtId="49" fontId="5" fillId="0" borderId="1" xfId="0" applyNumberFormat="1" applyFont="1" applyFill="1" applyBorder="1" applyAlignment="1">
      <alignment vertical="center"/>
    </xf>
    <xf numFmtId="0" fontId="26" fillId="0" borderId="1" xfId="0" applyFont="1" applyFill="1" applyBorder="1" applyAlignment="1">
      <alignment horizontal="left" vertical="center"/>
    </xf>
    <xf numFmtId="1" fontId="7" fillId="0" borderId="1" xfId="0" applyNumberFormat="1" applyFont="1" applyFill="1" applyBorder="1" applyAlignment="1">
      <alignment horizontal="center" vertical="center"/>
    </xf>
    <xf numFmtId="49" fontId="5" fillId="0" borderId="1" xfId="0" applyNumberFormat="1" applyFont="1" applyFill="1" applyBorder="1" applyAlignment="1">
      <alignment horizontal="center" vertical="center"/>
    </xf>
    <xf numFmtId="0" fontId="10" fillId="0" borderId="3" xfId="0" applyFont="1" applyFill="1" applyBorder="1" applyAlignment="1">
      <alignment horizontal="left" vertical="center" wrapText="1"/>
    </xf>
    <xf numFmtId="0" fontId="10" fillId="0" borderId="5" xfId="0" applyFont="1" applyFill="1" applyBorder="1" applyAlignment="1">
      <alignment horizontal="left" vertical="center" wrapText="1"/>
    </xf>
    <xf numFmtId="177" fontId="7" fillId="5" borderId="1" xfId="0" applyNumberFormat="1" applyFont="1" applyFill="1" applyBorder="1" applyAlignment="1" applyProtection="1">
      <alignment vertical="center" wrapText="1"/>
    </xf>
    <xf numFmtId="49" fontId="26" fillId="0" borderId="1" xfId="0" applyNumberFormat="1" applyFont="1" applyFill="1" applyBorder="1" applyAlignment="1">
      <alignment vertical="center"/>
    </xf>
    <xf numFmtId="177" fontId="4" fillId="0" borderId="1" xfId="0" applyNumberFormat="1" applyFont="1" applyFill="1" applyBorder="1" applyAlignment="1">
      <alignment vertical="center"/>
    </xf>
    <xf numFmtId="0" fontId="4" fillId="0" borderId="3" xfId="0" applyFont="1" applyFill="1" applyBorder="1" applyAlignment="1">
      <alignment horizontal="center" vertical="center"/>
    </xf>
    <xf numFmtId="2" fontId="13" fillId="0" borderId="3" xfId="0" applyNumberFormat="1" applyFont="1" applyFill="1" applyBorder="1" applyAlignment="1" applyProtection="1">
      <alignment horizontal="center" vertical="center" wrapText="1"/>
    </xf>
    <xf numFmtId="0" fontId="13" fillId="0" borderId="3" xfId="0" applyFont="1" applyFill="1" applyBorder="1" applyAlignment="1">
      <alignment horizontal="center" vertical="center" wrapText="1"/>
    </xf>
    <xf numFmtId="49" fontId="4" fillId="0" borderId="1" xfId="0" applyNumberFormat="1" applyFont="1" applyFill="1" applyBorder="1" applyAlignment="1">
      <alignment vertical="center"/>
    </xf>
    <xf numFmtId="0" fontId="3" fillId="0" borderId="1" xfId="0" applyFont="1" applyFill="1" applyBorder="1" applyAlignment="1">
      <alignment horizontal="left" vertical="center"/>
    </xf>
    <xf numFmtId="0" fontId="4" fillId="0" borderId="1" xfId="0" applyFont="1" applyFill="1" applyBorder="1" applyAlignment="1">
      <alignment vertical="center"/>
    </xf>
    <xf numFmtId="0" fontId="4" fillId="0" borderId="1" xfId="0" applyFont="1" applyFill="1" applyBorder="1" applyAlignment="1">
      <alignment horizontal="center" vertical="center"/>
    </xf>
    <xf numFmtId="0" fontId="4" fillId="0" borderId="3" xfId="0" applyFont="1" applyFill="1" applyBorder="1" applyAlignment="1">
      <alignment vertical="center"/>
    </xf>
    <xf numFmtId="49" fontId="4" fillId="0" borderId="1" xfId="0" applyNumberFormat="1" applyFont="1" applyFill="1" applyBorder="1" applyAlignment="1">
      <alignment horizontal="center" vertical="center"/>
    </xf>
    <xf numFmtId="0" fontId="4"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5" fillId="4" borderId="1" xfId="0" applyFont="1" applyFill="1" applyBorder="1" applyAlignment="1">
      <alignment vertical="center" wrapText="1"/>
    </xf>
    <xf numFmtId="178" fontId="5" fillId="4" borderId="1" xfId="0" applyNumberFormat="1" applyFont="1" applyFill="1" applyBorder="1" applyAlignment="1">
      <alignment horizontal="center" vertical="center" wrapText="1"/>
    </xf>
    <xf numFmtId="0" fontId="10" fillId="3" borderId="1" xfId="0" applyFont="1" applyFill="1" applyBorder="1" applyAlignment="1" applyProtection="1">
      <alignment vertical="center" wrapText="1"/>
    </xf>
    <xf numFmtId="0" fontId="13" fillId="3" borderId="1" xfId="0" applyFont="1" applyFill="1" applyBorder="1" applyAlignment="1">
      <alignment vertical="center"/>
    </xf>
    <xf numFmtId="0" fontId="4" fillId="3" borderId="3" xfId="0" applyFont="1" applyFill="1" applyBorder="1" applyAlignment="1">
      <alignment vertical="center"/>
    </xf>
    <xf numFmtId="0" fontId="13" fillId="4" borderId="1" xfId="0" applyFont="1" applyFill="1" applyBorder="1" applyAlignment="1">
      <alignment vertical="center"/>
    </xf>
    <xf numFmtId="0" fontId="27" fillId="0" borderId="1" xfId="0" applyNumberFormat="1" applyFont="1" applyFill="1" applyBorder="1" applyAlignment="1">
      <alignment horizontal="center" vertical="center" wrapText="1"/>
    </xf>
    <xf numFmtId="177" fontId="5" fillId="5" borderId="1" xfId="0" applyNumberFormat="1" applyFont="1" applyFill="1" applyBorder="1" applyAlignment="1">
      <alignment horizontal="center" vertical="center" wrapText="1"/>
    </xf>
    <xf numFmtId="177" fontId="20" fillId="0" borderId="1" xfId="0" applyNumberFormat="1" applyFont="1" applyFill="1" applyBorder="1" applyAlignment="1">
      <alignment vertical="center"/>
    </xf>
    <xf numFmtId="0" fontId="20" fillId="0" borderId="3" xfId="0" applyFont="1" applyFill="1" applyBorder="1" applyAlignment="1">
      <alignment vertical="center"/>
    </xf>
    <xf numFmtId="0" fontId="4" fillId="0" borderId="3" xfId="0" applyFont="1" applyFill="1" applyBorder="1" applyAlignment="1">
      <alignment vertical="center" wrapText="1"/>
    </xf>
    <xf numFmtId="0" fontId="11" fillId="3" borderId="3" xfId="52" applyFont="1" applyFill="1" applyBorder="1" applyAlignment="1">
      <alignment horizontal="center" vertical="center" wrapText="1"/>
    </xf>
    <xf numFmtId="0" fontId="11" fillId="3" borderId="4" xfId="52" applyFont="1" applyFill="1" applyBorder="1" applyAlignment="1">
      <alignment horizontal="center" vertical="center" wrapText="1"/>
    </xf>
    <xf numFmtId="0" fontId="11" fillId="3" borderId="5" xfId="52" applyFont="1" applyFill="1" applyBorder="1" applyAlignment="1">
      <alignment horizontal="center" vertical="center" wrapText="1"/>
    </xf>
    <xf numFmtId="0" fontId="11" fillId="3" borderId="1" xfId="52" applyFont="1" applyFill="1" applyBorder="1" applyAlignment="1">
      <alignment vertical="center" wrapText="1"/>
    </xf>
    <xf numFmtId="0" fontId="11" fillId="3" borderId="3" xfId="52" applyFont="1" applyFill="1" applyBorder="1" applyAlignment="1">
      <alignment vertical="center" wrapText="1"/>
    </xf>
    <xf numFmtId="0" fontId="11" fillId="4" borderId="1" xfId="52" applyFont="1" applyFill="1" applyBorder="1" applyAlignment="1">
      <alignment vertical="center" wrapText="1"/>
    </xf>
    <xf numFmtId="177" fontId="7" fillId="5" borderId="1" xfId="52" applyNumberFormat="1" applyFont="1" applyFill="1" applyBorder="1" applyAlignment="1">
      <alignment vertical="center" wrapText="1"/>
    </xf>
    <xf numFmtId="0" fontId="10" fillId="0" borderId="1" xfId="0" applyFont="1" applyFill="1" applyBorder="1" applyAlignment="1">
      <alignment horizontal="left" vertical="center" wrapText="1"/>
    </xf>
    <xf numFmtId="49" fontId="10" fillId="0" borderId="1" xfId="52" applyNumberFormat="1" applyFont="1" applyFill="1" applyBorder="1" applyAlignment="1">
      <alignment horizontal="center" vertical="center" textRotation="255" wrapText="1"/>
    </xf>
    <xf numFmtId="0" fontId="10" fillId="0" borderId="1" xfId="52" applyFont="1" applyFill="1" applyBorder="1" applyAlignment="1">
      <alignment horizontal="center" vertical="center" wrapText="1"/>
    </xf>
    <xf numFmtId="49" fontId="13" fillId="0" borderId="1" xfId="52" applyNumberFormat="1" applyFont="1" applyFill="1" applyBorder="1" applyAlignment="1">
      <alignment horizontal="center" vertical="center" wrapText="1"/>
    </xf>
    <xf numFmtId="0" fontId="13" fillId="0" borderId="1" xfId="52" applyFont="1" applyFill="1" applyBorder="1" applyAlignment="1">
      <alignment vertical="center" wrapText="1"/>
    </xf>
    <xf numFmtId="0" fontId="13" fillId="0" borderId="3" xfId="52" applyFont="1" applyFill="1" applyBorder="1" applyAlignment="1">
      <alignment horizontal="left" vertical="center" wrapText="1"/>
    </xf>
    <xf numFmtId="0" fontId="10" fillId="0" borderId="1" xfId="52" applyFont="1" applyFill="1" applyBorder="1" applyAlignment="1">
      <alignment vertical="center" wrapText="1"/>
    </xf>
    <xf numFmtId="0" fontId="10" fillId="4" borderId="3" xfId="52" applyFont="1" applyFill="1" applyBorder="1" applyAlignment="1">
      <alignmen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4" xfId="49"/>
    <cellStyle name="常规 62 3" xfId="50"/>
    <cellStyle name="常规_Sheet1 3" xfId="51"/>
    <cellStyle name="常规_石材计算方法(08.9.1) 2" xfId="52"/>
    <cellStyle name="常规 2 10" xfId="53"/>
    <cellStyle name="千位分隔 12"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7.xml"/><Relationship Id="rId8" Type="http://schemas.openxmlformats.org/officeDocument/2006/relationships/externalLink" Target="externalLinks/externalLink6.xml"/><Relationship Id="rId7" Type="http://schemas.openxmlformats.org/officeDocument/2006/relationships/externalLink" Target="externalLinks/externalLink5.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19.xml"/><Relationship Id="rId20" Type="http://schemas.openxmlformats.org/officeDocument/2006/relationships/externalLink" Target="externalLinks/externalLink18.xml"/><Relationship Id="rId2" Type="http://schemas.openxmlformats.org/officeDocument/2006/relationships/worksheet" Target="worksheets/sheet2.xml"/><Relationship Id="rId19" Type="http://schemas.openxmlformats.org/officeDocument/2006/relationships/externalLink" Target="externalLinks/externalLink17.xml"/><Relationship Id="rId18" Type="http://schemas.openxmlformats.org/officeDocument/2006/relationships/externalLink" Target="externalLinks/externalLink16.xml"/><Relationship Id="rId17" Type="http://schemas.openxmlformats.org/officeDocument/2006/relationships/externalLink" Target="externalLinks/externalLink15.xml"/><Relationship Id="rId16" Type="http://schemas.openxmlformats.org/officeDocument/2006/relationships/externalLink" Target="externalLinks/externalLink14.xml"/><Relationship Id="rId15" Type="http://schemas.openxmlformats.org/officeDocument/2006/relationships/externalLink" Target="externalLinks/externalLink13.xml"/><Relationship Id="rId14" Type="http://schemas.openxmlformats.org/officeDocument/2006/relationships/externalLink" Target="externalLinks/externalLink12.xml"/><Relationship Id="rId13" Type="http://schemas.openxmlformats.org/officeDocument/2006/relationships/externalLink" Target="externalLinks/externalLink11.xml"/><Relationship Id="rId12" Type="http://schemas.openxmlformats.org/officeDocument/2006/relationships/externalLink" Target="externalLinks/externalLink10.xml"/><Relationship Id="rId11" Type="http://schemas.openxmlformats.org/officeDocument/2006/relationships/externalLink" Target="externalLinks/externalLink9.xml"/><Relationship Id="rId10" Type="http://schemas.openxmlformats.org/officeDocument/2006/relationships/externalLink" Target="externalLinks/externalLink8.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20108;&#24037;&#21306;&#32467;&#31639;\CHEN\&#20844;&#36335;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CHEN\&#20844;&#36335;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1335;&#24196;\&#24635;&#21253;\34#&#22320;&#22359;&#31532;&#22235;&#36718;&#35758;&#26631;&#38382;&#21367;\&#22825;&#20803;&#38598;&#22242;\&#28165;&#21333;\&#19977;&#26631;&#27573;&#22303;&#24314;&#28165;&#21333;&#65288;3#4#&#22320;&#22359;&#65289;%20201112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p-server\I\CHINA\616\BQ-MEA\MC\HOUSE\REIN_HS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38738;&#23707;&#20844;&#21496;&#21512;&#32422;&#31649;&#29702;&#26631;&#20934;&#21270;\&#26631;&#20934;&#21270;02%20%20&#38738;&#23707;&#20844;&#21496;&#21512;&#32422;&#31649;&#29702;&#37096;%20&#30005;&#23376;&#25991;&#20214;&#23384;&#26723;&#30446;&#24405;&#25351;&#24341;\04&#25307;&#26631;&#12289;&#35780;&#26631;&#12289;&#23450;&#26631;&#25991;&#20214;\&#22269;&#38469;&#31038;&#21306;&#39033;&#30446;\&#24635;&#21253;\5#&#22320;&#22359;&#24037;&#31243;&#37327;&#28165;&#21333;\DY\&#25253;&#20215;&#34920;\&#25307;&#26631;&#25991;&#20214;&#21333;&#20215;&#34920;(1)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21508;&#22320;&#39033;&#30446;\&#37325;&#24198;64#\Documents%20and%20Settings\Administrator\&#26700;&#38754;\&#31639;&#37327;\&#25163;&#31295;\&#24037;&#31243;&#37327;&#35745;&#31639;&#27169;&#2649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Administrator\Documents\WeChat%20Files\jumsit\FileStorage\File\2020-09\&#20013;&#21335;&#32622;&#22320;&#24191;&#20315;&#21306;&#22495;&#20315;&#23665;&#26032;&#22478;&#33655;&#23731;&#36335;&#65288;&#26149;&#39118;&#21517;&#33489;&#65289;&#39033;&#30446;&#31034;&#33539;&#21306;&#35013;&#20462;&#24037;&#31243;\&#19977;&#26631;&#27573;&#22303;&#24314;&#28165;&#21333;&#65288;9&#12289;12&#12289;13#&#27004;&#21450;&#24188;&#20799;&#22253;&#652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HEN\&#20844;&#36335;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6412;&#20844;&#21496;&#25104;&#26412;&#65288;&#29579;&#65289;\03-&#21508;&#39033;&#30446;&#30446;&#26631;&#25104;&#26412;\&#24050;&#19979;&#21457;&#30446;&#26631;&#25104;&#26412;\&#22025;&#20852;\&#22025;&#20852;&#26045;&#24037;&#22270;\&#27993;&#27743;&#26093;&#36745;\&#27010;&#39044;&#31639;\&#30446;&#26631;&#25104;&#26412;\&#22025;&#20852;&#30446;&#26631;&#25104;&#26412;\&#25105;&#30340;&#24037;&#20316;\&#39033;&#30446;&#25299;&#23637;\&#40857;&#21326;&#26032;&#22478;\&#40857;&#21326;&#26032;&#22478;2004020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01%20&#21150;&#20844;&#25991;&#20214;\04-1%20&#20840;&#36807;&#31243;&#36319;&#36394;\01%20&#29233;&#29305;&#36335;&#20108;&#23618;&#25913;&#36896;\03%20&#25307;&#26631;&#28165;&#21333;\&#32534;&#21046;&#35828;&#26126;&#32534;&#21046;&#21442;&#32771;\&#29615;&#21271;&#33457;&#33489;&#21806;&#27004;&#22788;&#21450;&#26679;&#26495;&#25151;&#35013;&#20462;&#25307;&#26631;&#27491;&#24335;&#29256;&#28165;&#21333;20170904\RecoveredExternalLink1"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20013;&#28023;&#39033;&#30446;\B07&#39033;&#30446;\&#26045;&#24037;&#21512;&#21516;\&#26045;&#24037;&#21512;&#21516;(&#26242;&#23450;&#37327;&#29256;)\b%20&#24037;&#31243;&#37327;&#28165;&#21333;&#65288;II&#26631;&#27573;&#65289;&#26631;&#20934;&#26684;&#24335;&#29256;\&#22269;&#31038;5#\&#19968;&#26399;1#2#&#22320;&#22359;A&#26631;&#27573;&#65288;&#26263;&#28192;&#35199;&#65289;\18.&#21512;&#21516;&#24037;&#31243;&#37327;&#28165;&#21333;\18.1&#19968;&#26399;1#2#&#22320;&#22359;A&#26631;&#27573;&#65288;&#26263;&#28192;&#35199;&#65289;&#24635;&#25215;&#21253;&#24037;&#31243;&#21512;&#21516;&#28165;&#2133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21150;&#20844;&#25991;&#20214;\04-1%20&#20840;&#36807;&#31243;&#36319;&#36394;\01%20&#29233;&#29305;&#36335;&#20108;&#23618;&#25913;&#36896;\03%20&#25307;&#26631;&#28165;&#21333;\&#32534;&#21046;&#35828;&#26126;&#32534;&#21046;&#21442;&#32771;\&#29615;&#21271;&#33457;&#33489;&#21806;&#27004;&#22788;&#21450;&#26679;&#26495;&#25151;&#35013;&#20462;&#25307;&#26631;&#27491;&#24335;&#29256;&#28165;&#21333;20170904\RecoveredExternalLink2"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24658;&#22522;&#183;&#26093;&#36745;&#20013;&#24515;&#26376;&#25253;\&#34425;&#26725;2014-10&#26376;&#25253;\&#20043;&#21069;&#21488;&#36134;\&#24050;&#19979;&#21457;&#30446;&#26631;&#25104;&#26412;\&#22025;&#20852;\&#22025;&#20852;&#26045;&#24037;&#22270;\&#27993;&#27743;&#26093;&#36745;\&#27010;&#39044;&#31639;\&#30446;&#26631;&#25104;&#26412;\&#22025;&#20852;&#30446;&#26631;&#25104;&#26412;\Documents%20and%20Settings\wyj.GEMDALE\Local%20Settings\Temporary%20Internet%20Files\OLK2E\&#19996;&#33694;&#19996;&#22478;&#21306;&#26087;&#22478;&#25913;&#36896;&#27979;&#31639;1-1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24658;&#22522;&#183;&#26093;&#36745;&#20013;&#24515;&#26376;&#25253;\&#34425;&#26725;2014-10&#26376;&#25253;\&#20043;&#21069;&#21488;&#36134;\&#30334;&#24230;&#20113;\work\&#22025;&#23450;A14-1&#21830;&#20303;&#22320;&#22359;\&#26045;&#24037;&#22270;&#21512;&#32422;&#35268;&#21010;&#35843;&#25972;&#21160;&#24577;&#34920;\&#21160;&#24577;&#25104;&#26412;&#25511;&#21046;&#34920;&#65288;&#19978;&#28023;&#65289;-&#22025;&#23450;&#26093;&#36745;&#21326;&#24237;8.27.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J:\CHEN\&#20844;&#36335;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38889;&#27427;&#27427;\&#39318;&#24320;&#21306;&#31934;&#35013;&#20462;\&#31934;&#35013;&#20462;&#32467;&#26524;2015.1.29\RecoveredExternalLink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Users\vinci\Desktop\&#24037;&#31243;&#37327;&#28165;&#21333;(0609&#25913;)\&#32501;&#38451;&#19975;&#36798;\RecoveredExternalLink15"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e\solution\beijing\bjhotel\PDS&#200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39033;&#30446;\&#24503;&#24030;&#19975;&#36798;\SOHO&#20869;&#35013;&#27979;&#31639;\&#26045;&#24037;&#22270;0620\SOHO&#20869;&#35013;\SOHO&#20869;&#35013;&#27979;&#31639;6.20\&#32473;&#25490;&#27700;&#24037;&#31243;&#3492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21"/>
      <sheetName val="22"/>
      <sheetName val="24"/>
      <sheetName val="Module3"/>
      <sheetName val="Module2"/>
      <sheetName val="Module1"/>
      <sheetName val="B3#楼措施汇总"/>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1"/>
      <sheetName val="22"/>
      <sheetName val="24"/>
      <sheetName val="Module3"/>
      <sheetName val="Module2"/>
      <sheetName val="Module1"/>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其他项目"/>
      <sheetName val="防水胶填缝"/>
      <sheetName val="XLR_NoRangeSheet"/>
      <sheetName val="#REF!"/>
      <sheetName val="清单"/>
      <sheetName val="数据汇总表"/>
      <sheetName val="基础项目"/>
      <sheetName val="材料损耗(不打印)"/>
      <sheetName val="墙面工程"/>
      <sheetName val="主营业务成本明细表"/>
      <sheetName val="下拉菜单"/>
      <sheetName val="汇总表"/>
      <sheetName val="5期B栋会所装饰精装修"/>
      <sheetName val="eqpmad2"/>
      <sheetName val="百叶"/>
      <sheetName val="剁琥"/>
      <sheetName val="剁琥黄锈石"/>
      <sheetName val="光面"/>
      <sheetName val="荔枝"/>
      <sheetName val="荔枝黄锈石"/>
      <sheetName val="哑面"/>
      <sheetName val="材料表"/>
      <sheetName val="1"/>
      <sheetName val="1."/>
      <sheetName val="型材表"/>
      <sheetName val="XL4Poppy"/>
      <sheetName val="承台(砖模) "/>
      <sheetName val="柱"/>
      <sheetName val="型材线密度表"/>
      <sheetName val="工程量"/>
      <sheetName val="单位库"/>
      <sheetName val="土建工程综合单价表"/>
      <sheetName val="土建工程综合单价组价明细表"/>
      <sheetName val="施工参考单价报价表"/>
      <sheetName val="其它工作项目报价清单"/>
      <sheetName val="甲指乙供材料报价表"/>
      <sheetName val="B4零星"/>
      <sheetName val="园建计算表1梁工"/>
      <sheetName val="梁"/>
      <sheetName val="内围地梁钢筋说明"/>
      <sheetName val="设置"/>
      <sheetName val="辅助表(11大堂)"/>
      <sheetName val="Main"/>
      <sheetName val="保安视频监控系统"/>
      <sheetName val="内部主要成本"/>
      <sheetName val="CD-실적"/>
      <sheetName val="弱电"/>
      <sheetName val="过渡数据表"/>
      <sheetName val="门窗表 "/>
      <sheetName val="_x005f_x0000__x005f_x0000__x005f_x0000__x005f_x0000__x0"/>
      <sheetName val="进度款审核"/>
      <sheetName val="析-2"/>
      <sheetName val="封面"/>
      <sheetName val="人行道"/>
      <sheetName val="板房区目标成本"/>
      <sheetName val="分部分项工程量清单计价表"/>
      <sheetName val="室内精简装修计价清单"/>
      <sheetName val="单位"/>
      <sheetName val="POWER ASSUMPTIONS"/>
      <sheetName val="Sheet2"/>
      <sheetName val="单位工程费汇总表"/>
      <sheetName val="面积合计（藏）"/>
      <sheetName val="预制管桩"/>
      <sheetName val="2"/>
      <sheetName val="桩承台"/>
      <sheetName val="基础梁"/>
      <sheetName val="剪力墙"/>
      <sheetName val="楼板"/>
      <sheetName val="框架梁"/>
      <sheetName val="7"/>
      <sheetName val="屋架梁"/>
      <sheetName val="屋顶水池"/>
      <sheetName val="零星项目"/>
      <sheetName val="_x005f_x005f_x005f_x0000__x005f_x005f_x005f_x0000__x005"/>
      <sheetName val="总措施项目"/>
      <sheetName val="综合单价表"/>
      <sheetName val="建筑汇总表 "/>
      <sheetName val="文化石通花隔栅"/>
      <sheetName val="抛光砖窗台板"/>
      <sheetName val="门窗面积计量"/>
      <sheetName val="门槛"/>
      <sheetName val="栏杆及栏杆底座抛光砖"/>
      <sheetName val="幕墙"/>
      <sheetName val="地花合计 "/>
      <sheetName val="首层地花"/>
      <sheetName val="二层地花"/>
      <sheetName val="三层地花"/>
      <sheetName val="四层地花"/>
      <sheetName val="五层地花"/>
      <sheetName val="天花工程量"/>
      <sheetName val="图书馆１内墙装饰与踢脚线工程量"/>
      <sheetName val="图书馆2内墙装饰与踢脚线工程量"/>
      <sheetName val="图书馆3内墙装饰与踢脚线工程量"/>
      <sheetName val="图书馆4内墙装饰与踢脚线工程量"/>
      <sheetName val="图书馆5内墙装饰与踢脚线工程量 "/>
      <sheetName val="其他内墙装饰与踢脚线工程量"/>
      <sheetName val="内墙装饰与踢脚线工程量合计"/>
      <sheetName val=" 装饰墙和1号装饰门"/>
      <sheetName val="1号电梯"/>
      <sheetName val="柱(干挂花岗石)"/>
      <sheetName val="外墙装饰工程计量首层"/>
      <sheetName val="外墙装饰工程计量二层"/>
      <sheetName val="外墙装饰工程计量三层"/>
      <sheetName val="外墙装饰工程计量四层"/>
      <sheetName val="外墙装饰工程计量五层"/>
      <sheetName val="外墙装饰工程计量屋面层"/>
      <sheetName val="外墙装饰合计"/>
      <sheetName val="造型飘板(铝板幕墙)工程量 1"/>
      <sheetName val=" 室内玻璃隔断"/>
      <sheetName val="卫生间"/>
      <sheetName val="1#2#楼梯"/>
      <sheetName val="3#楼梯 "/>
      <sheetName val="4#5#楼梯"/>
      <sheetName val="6#楼梯"/>
      <sheetName val="7#楼梯 "/>
      <sheetName val="8#楼梯"/>
      <sheetName val="楼梯二次装修合计"/>
      <sheetName val="卫生间墙面及地面防水相关工程量计算表"/>
      <sheetName val="防水"/>
      <sheetName val="女儿墙"/>
      <sheetName val="排水沟"/>
      <sheetName val="中庭栏杆"/>
      <sheetName val="内外墙挂网"/>
      <sheetName val="TC356天窗工程量 "/>
      <sheetName val="点支式采光顶棚工程量计算"/>
      <sheetName val="拉杆式采光棚"/>
      <sheetName val="幕墙门套及幕墙底部收口"/>
      <sheetName val="窗帘盒"/>
      <sheetName val="3"/>
      <sheetName val="8"/>
      <sheetName val="6"/>
      <sheetName val="4"/>
      <sheetName val="投标材料清单 "/>
      <sheetName val="5"/>
      <sheetName val="钢结构"/>
      <sheetName val="建筑汇总表"/>
      <sheetName val="地花 天花"/>
      <sheetName val="外墙块料"/>
      <sheetName val="外墙装饰工程量"/>
      <sheetName val="内、外墙挂网"/>
      <sheetName val="内墙抹灰、油漆、面砖"/>
      <sheetName val="内墙面"/>
      <sheetName val=" 柱"/>
      <sheetName val="屋面防水和卫生间防水"/>
      <sheetName val="天棚、楼地面（初）"/>
      <sheetName val="柱面砖"/>
      <sheetName val="楼梯栏杆及底座抛光砖"/>
      <sheetName val="楼梯栏杆及底座及花岗石"/>
      <sheetName val="钢结构计算表"/>
      <sheetName val="其他工程"/>
      <sheetName val="其它"/>
      <sheetName val="栏杆"/>
      <sheetName val="楼梯抛光砖侧面"/>
      <sheetName val="夹层楼地面"/>
      <sheetName val="设备用房间ICI及踢脚线"/>
      <sheetName val="办公室ICI及踢脚线"/>
      <sheetName val="卫生间150X300瓷砖"/>
      <sheetName val="楼梯间天棚乳胶漆"/>
      <sheetName val="20宽填胶缝与25宽不锈钢装饰线"/>
      <sheetName val="名称"/>
      <sheetName val="anti-termite"/>
      <sheetName val="建筑面积 "/>
      <sheetName val="Elem Cost"/>
      <sheetName val="改加胶玻璃、室外栏杆"/>
      <sheetName val="工程量清单计价表"/>
      <sheetName val="增加项目（塔楼栏杆、雨篷、百叶窗、钢梁）"/>
      <sheetName val="19#楼(作废)"/>
      <sheetName val="门窗"/>
      <sheetName val="单价分析过程"/>
      <sheetName val="主要材料价格表 (2)"/>
      <sheetName val="工程清单"/>
      <sheetName val="主材表"/>
      <sheetName val="石材购买量统计"/>
      <sheetName val="给排水工程量计算书"/>
      <sheetName val="签证汇总表"/>
      <sheetName val="3#砌筑、工程"/>
      <sheetName val="钢筋设置"/>
      <sheetName val="T1T2T3T4门窗表"/>
      <sheetName val="职工花名册"/>
      <sheetName val="工程量清单"/>
      <sheetName val="_x005f_x005f_x005f_x005f_x005f_x005f_x005f_x0000__x005f"/>
      <sheetName val="31#楼（实）"/>
      <sheetName val="SW-TEO"/>
      <sheetName val="工程量清单(原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投标总结"/>
      <sheetName val="一号清单开办费"/>
      <sheetName val="非人防地库土建"/>
      <sheetName val="人防地库土建（暂定）"/>
      <sheetName val="Sheet4"/>
      <sheetName val="1#楼裙楼土建"/>
      <sheetName val="2#楼裙楼土建"/>
      <sheetName val="3#楼裙楼土建"/>
      <sheetName val="5#楼裙楼土建"/>
      <sheetName val="1#楼塔楼土建"/>
      <sheetName val="2#楼塔楼土建"/>
      <sheetName val="3#楼塔楼土建"/>
      <sheetName val="4#塔楼土建"/>
      <sheetName val="5#楼塔楼土建"/>
      <sheetName val="高层塔楼土建成本分析"/>
      <sheetName val="小高层塔楼土建成本分析"/>
      <sheetName val="裙楼土建成本分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sheetName val="PILE CAP"/>
      <sheetName val="BEAM"/>
      <sheetName val="SLAB"/>
      <sheetName val="WALL"/>
      <sheetName val="COLUMN"/>
      <sheetName val="General"/>
      <sheetName val="Sheet5"/>
      <sheetName val="Sheet6"/>
      <sheetName val="Sheet7"/>
      <sheetName val="Sheet8"/>
      <sheetName val="Sheet9"/>
      <sheetName val="Sheet10"/>
      <sheetName val="Sheet11"/>
      <sheetName val="Sheet12"/>
      <sheetName val="Sheet13"/>
      <sheetName val="Sheet14"/>
      <sheetName val="Sheet15"/>
      <sheetName val="Sheet16"/>
      <sheetName val="#REF!"/>
      <sheetName val="1#非桩基础 "/>
      <sheetName val="投标总结"/>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Sheet1"/>
      <sheetName val="暗渠以西人防地库（暂定）"/>
      <sheetName val="常用项目"/>
      <sheetName val="資料庫"/>
      <sheetName val="BQ2.10"/>
      <sheetName val="应供量清单"/>
      <sheetName val="预算200326"/>
      <sheetName val="1 开办费汇总"/>
      <sheetName val="Sheet4"/>
      <sheetName val="合格证 (2)"/>
      <sheetName val="明細表"/>
      <sheetName val="编制说明"/>
      <sheetName val="Wl. Fin."/>
      <sheetName val="21"/>
      <sheetName val="BQ2-住宅部分"/>
      <sheetName val="BQ2-商业街部分"/>
      <sheetName val="POWER ASSUMPTIONS"/>
      <sheetName val="3"/>
      <sheetName val="8"/>
      <sheetName val="GS"/>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Toolbox"/>
      <sheetName val="Main"/>
      <sheetName val="XLR_NoRangeSheet"/>
      <sheetName val="主要项目单价分析表 "/>
      <sheetName val="电线"/>
      <sheetName val="电缆"/>
      <sheetName val="中海城三期（01A及01E小学）"/>
      <sheetName val="中海城四期（02C）"/>
      <sheetName val="Open"/>
      <sheetName val="型材表"/>
      <sheetName val="材料单价表"/>
      <sheetName val="汇总表"/>
      <sheetName val="配置表"/>
      <sheetName val="地连墙"/>
      <sheetName val="Financ. Overview"/>
      <sheetName val="eqpmad2"/>
      <sheetName val="磨具余料庫"/>
      <sheetName val="二号清单"/>
      <sheetName val="面积表"/>
      <sheetName val="内围地梁钢筋说明"/>
      <sheetName val="4、综合单价分析表"/>
      <sheetName val="材料价格"/>
      <sheetName val="工程量A"/>
      <sheetName val="单价报价明细表"/>
      <sheetName val="报价明细表"/>
      <sheetName val="清单"/>
      <sheetName val="单位"/>
      <sheetName val="SW-TEO"/>
      <sheetName val="7"/>
      <sheetName val="投标材料清单 "/>
      <sheetName val="S1单价表"/>
      <sheetName val="BQ3-1"/>
      <sheetName val="BQ5.3-1"/>
      <sheetName val="2"/>
      <sheetName val="6"/>
      <sheetName val="面积合计（藏）"/>
      <sheetName val="4"/>
      <sheetName val="5"/>
      <sheetName val="1"/>
      <sheetName val="工程量"/>
      <sheetName val="1."/>
      <sheetName val="BQ4.1.1至4.1.4"/>
      <sheetName val="일반공사"/>
      <sheetName val="2012-9科目余额表 (6)"/>
      <sheetName val="科目余额表 (5)"/>
      <sheetName val="工料测量师报告"/>
      <sheetName val="7.1APP3"/>
      <sheetName val="G2TempSheet"/>
      <sheetName val="2.1设计部"/>
      <sheetName val="目录"/>
      <sheetName val="Sheet1 (11)"/>
      <sheetName val="电视监控"/>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裙楼机电"/>
      <sheetName val="塔楼电气"/>
      <sheetName val="塔楼给排水清单 "/>
      <sheetName val="塔楼采暖"/>
      <sheetName val="塔楼消防清单"/>
      <sheetName val="消防预埋清单"/>
      <sheetName val="弱电预留预埋清单"/>
      <sheetName val="防雷接地清单"/>
      <sheetName val="投标汇总 "/>
      <sheetName val="9#非桩基础 "/>
      <sheetName val="General"/>
      <sheetName val="Sheet1"/>
      <sheetName val="暗渠以西人防地库（暂定）"/>
      <sheetName val="投标总结"/>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工程量计算表"/>
      <sheetName val="单位库"/>
      <sheetName val="Sheet3"/>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投标总结"/>
      <sheetName val="一号清单开办费"/>
      <sheetName val="二标段地库土建"/>
      <sheetName val="点工单价表"/>
      <sheetName val="补充项目单价表"/>
      <sheetName val="高层塔楼土建成本分析"/>
      <sheetName val="小高层塔楼土建成本分析"/>
      <sheetName val="裙楼土建成本分析"/>
      <sheetName val="General"/>
      <sheetName val="Sheet1"/>
      <sheetName val="暗渠以西人防地库（暂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21"/>
      <sheetName val="22"/>
      <sheetName val="24"/>
      <sheetName val="Module3"/>
      <sheetName val="Module2"/>
      <sheetName val="Module1"/>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其他项目"/>
      <sheetName val="防水胶填缝"/>
      <sheetName val="单位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编  制  说  明"/>
      <sheetName val="主要规划指标"/>
      <sheetName val="成本目标控制汇总表"/>
      <sheetName val="建安成本"/>
      <sheetName val="基础数据"/>
      <sheetName val="报价汇总"/>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封面"/>
      <sheetName val="说明"/>
      <sheetName val="主要规划指标"/>
      <sheetName val="建安成本"/>
      <sheetName val="21"/>
      <sheetName val="22"/>
      <sheetName val="24"/>
      <sheetName val="Module3"/>
      <sheetName val="Module2"/>
      <sheetName val="Module1"/>
      <sheetName val="B3#楼措施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投标总结"/>
      <sheetName val="一号清单开办费"/>
      <sheetName val="暗渠以西非人防地库"/>
      <sheetName val="暗渠以西人防地库（暂定）"/>
      <sheetName val="Sheet1"/>
      <sheetName val="1#楼裙楼土建"/>
      <sheetName val="2#楼裙楼土建"/>
      <sheetName val="5#楼裙楼土建"/>
      <sheetName val="9#楼裙楼土建"/>
      <sheetName val="12#裙楼土建"/>
      <sheetName val="1#楼塔楼土建"/>
      <sheetName val="2#楼塔楼土建"/>
      <sheetName val="5#楼塔楼土建"/>
      <sheetName val="6#塔楼土建"/>
      <sheetName val="9#塔楼土建"/>
      <sheetName val="12#塔楼土建"/>
      <sheetName val="高层塔楼土建成本分析"/>
      <sheetName val="裙楼土建成本分析"/>
      <sheetName val="塔楼给排水清单 "/>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封面"/>
      <sheetName val="编  制  说  明"/>
      <sheetName val="主要规划指标"/>
      <sheetName val="建安成本"/>
      <sheetName val="工程量计算表"/>
      <sheetName val="单位库"/>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封面"/>
      <sheetName val="说明"/>
      <sheetName val="主要规划指标"/>
      <sheetName val="建安成本"/>
      <sheetName val="基础数据"/>
    </sheetNames>
    <sheetDataSet>
      <sheetData sheetId="0" refreshError="1"/>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Macro1"/>
      <sheetName val="基础数据"/>
      <sheetName val="总投资"/>
      <sheetName val="差异分析表"/>
      <sheetName val="动态成本表"/>
      <sheetName val="无合同费用"/>
      <sheetName val="合同台帐"/>
      <sheetName val="现场签证单"/>
      <sheetName val="变更"/>
      <sheetName val="其他事项"/>
      <sheetName val="招投标"/>
      <sheetName val="结算"/>
      <sheetName val="核价表单"/>
      <sheetName val="指令联系单"/>
      <sheetName val="精装动态"/>
      <sheetName val="景观动态"/>
      <sheetName val="主要规划指标"/>
      <sheetName v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21"/>
      <sheetName val="22"/>
      <sheetName val="24"/>
      <sheetName val="Module3"/>
      <sheetName val="Module2"/>
      <sheetName val="Module1"/>
      <sheetName val="封面"/>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其他项目"/>
      <sheetName val="防水胶填缝"/>
      <sheetName val="分部分项工程量清单计价表"/>
      <sheetName val="室内精简装修计价清单"/>
      <sheetName val="进度款审核"/>
      <sheetName val="XLR_NoRangeSheet"/>
      <sheetName val="析-2"/>
      <sheetName val="#REF!"/>
      <sheetName val="内围地梁钢筋说明"/>
      <sheetName val="板房区目标成本"/>
      <sheetName val="POWER ASSUMPTIONS"/>
      <sheetName val="搅拌桩计量"/>
      <sheetName val="旋挖桩混凝土量"/>
      <sheetName val="旋挖桩钢筋量"/>
      <sheetName val="人行道"/>
      <sheetName val="单位库"/>
      <sheetName val="单位"/>
      <sheetName val="eqpmad2"/>
      <sheetName val="Sheet2"/>
      <sheetName val="计算表"/>
      <sheetName val="03定额库"/>
      <sheetName val="94定额库"/>
      <sheetName val="清单库"/>
      <sheetName val="工程量汇总表"/>
      <sheetName val="计算簿"/>
      <sheetName val="汇总表"/>
      <sheetName val="LTM销售"/>
      <sheetName val="HTM销售"/>
      <sheetName val="生鲜销售"/>
      <sheetName val="门窗"/>
      <sheetName val="室内汇总"/>
      <sheetName val="雨水管网"/>
      <sheetName val="污水管网 "/>
      <sheetName val="-1层~26层地面"/>
      <sheetName val="C栋复式-1层~26层墙面"/>
      <sheetName val="弱电"/>
      <sheetName val="强电过路砼保护管 "/>
      <sheetName val="铺贴砂浆分析表"/>
      <sheetName val="编制说明"/>
      <sheetName val="汇总"/>
      <sheetName val="一层柱砼C40"/>
      <sheetName val="单位工程费汇总表"/>
      <sheetName val="二级成本动态表"/>
      <sheetName val="资料"/>
      <sheetName val="工程材料"/>
      <sheetName val="土建工程综合单价表"/>
      <sheetName val="土建工程综合单价组价明细表"/>
      <sheetName val="详图"/>
      <sheetName val="总工程量计算"/>
      <sheetName val="基础梁"/>
      <sheetName val="一期F区六标段工程进度款申请支付表"/>
      <sheetName val="一期F区块六标段本期完成工程造价确认汇总表"/>
      <sheetName val="一期F区六标段本期土建完成工程造价明细表"/>
      <sheetName val="一期F区六标段土建形象进度表"/>
      <sheetName val="一期F区六标段土建单体百分比组成"/>
      <sheetName val="一期F区六标段别墅区安装完成工程造价明细汇总表"/>
      <sheetName val="一期F区六标段别墅区安装形象进度表"/>
      <sheetName val="一期F区六标段高层及地下室安装完成工程造价明细表"/>
      <sheetName val="一期F区六标段高层及地下室安装形象进度表"/>
      <sheetName val="一期F区六标段室外安装完成工程造价确认表"/>
      <sheetName val="一期F区六标段未列项别墅区室外污水系统造价明细"/>
      <sheetName val="一期F区六标段未列项别墅区室外雨水系统造价明细"/>
      <sheetName val="一期F区六标段室外安装工程形象进度表"/>
      <sheetName val="一期F区六标段室外土建完成工程造价确认表"/>
      <sheetName val="一期F区六标段未列项别墅区室外土建造价明细表"/>
      <sheetName val="一期F区六标段室外土建工程形象进度表 "/>
      <sheetName val="3"/>
      <sheetName val="8"/>
      <sheetName val="2"/>
      <sheetName val="6"/>
      <sheetName val="面积合计（藏）"/>
      <sheetName val="7"/>
      <sheetName val="4"/>
      <sheetName val="投标材料清单 "/>
      <sheetName val="5"/>
      <sheetName val="1"/>
      <sheetName val="清单"/>
      <sheetName val="数据汇总表"/>
      <sheetName val="基础项目"/>
      <sheetName val="材料损耗(不打印)"/>
      <sheetName val="墙面工程"/>
      <sheetName val="材料表"/>
      <sheetName val="1."/>
      <sheetName val="型材表"/>
      <sheetName val="公共工程量底稿"/>
      <sheetName val="户型A工程量底稿"/>
      <sheetName val="户型A"/>
      <sheetName val="Parameters"/>
      <sheetName val="单位工程汇总表"/>
      <sheetName val="工程量清单计价表"/>
      <sheetName val="5期B栋会所装饰精装修"/>
      <sheetName val="主营业务成本明细表"/>
      <sheetName val="过渡数据表"/>
      <sheetName val="下拉菜单"/>
      <sheetName val="指标分摊"/>
      <sheetName val="规划指标"/>
      <sheetName val="工程库"/>
      <sheetName val="建筑汇总表 "/>
      <sheetName val="文化石通花隔栅"/>
      <sheetName val="抛光砖窗台板"/>
      <sheetName val="门窗面积计量"/>
      <sheetName val="门槛"/>
      <sheetName val="栏杆及栏杆底座抛光砖"/>
      <sheetName val="幕墙"/>
      <sheetName val="地花合计 "/>
      <sheetName val="首层地花"/>
      <sheetName val="二层地花"/>
      <sheetName val="三层地花"/>
      <sheetName val="四层地花"/>
      <sheetName val="五层地花"/>
      <sheetName val="天花工程量"/>
      <sheetName val="图书馆１内墙装饰与踢脚线工程量"/>
      <sheetName val="图书馆2内墙装饰与踢脚线工程量"/>
      <sheetName val="图书馆3内墙装饰与踢脚线工程量"/>
      <sheetName val="图书馆4内墙装饰与踢脚线工程量"/>
      <sheetName val="图书馆5内墙装饰与踢脚线工程量 "/>
      <sheetName val="其他内墙装饰与踢脚线工程量"/>
      <sheetName val="内墙装饰与踢脚线工程量合计"/>
      <sheetName val=" 装饰墙和1号装饰门"/>
      <sheetName val="1号电梯"/>
      <sheetName val="柱(干挂花岗石)"/>
      <sheetName val="外墙装饰工程计量首层"/>
      <sheetName val="外墙装饰工程计量二层"/>
      <sheetName val="外墙装饰工程计量三层"/>
      <sheetName val="外墙装饰工程计量四层"/>
      <sheetName val="外墙装饰工程计量五层"/>
      <sheetName val="外墙装饰工程计量屋面层"/>
      <sheetName val="外墙装饰合计"/>
      <sheetName val="造型飘板(铝板幕墙)工程量 1"/>
      <sheetName val=" 室内玻璃隔断"/>
      <sheetName val="卫生间"/>
      <sheetName val="1#2#楼梯"/>
      <sheetName val="3#楼梯 "/>
      <sheetName val="4#5#楼梯"/>
      <sheetName val="6#楼梯"/>
      <sheetName val="7#楼梯 "/>
      <sheetName val="8#楼梯"/>
      <sheetName val="楼梯二次装修合计"/>
      <sheetName val="卫生间墙面及地面防水相关工程量计算表"/>
      <sheetName val="防水"/>
      <sheetName val="女儿墙"/>
      <sheetName val="排水沟"/>
      <sheetName val="中庭栏杆"/>
      <sheetName val="内外墙挂网"/>
      <sheetName val="TC356天窗工程量 "/>
      <sheetName val="点支式采光顶棚工程量计算"/>
      <sheetName val="拉杆式采光棚"/>
      <sheetName val="幕墙门套及幕墙底部收口"/>
      <sheetName val="窗帘盒"/>
      <sheetName val="301-6"/>
      <sheetName val="各截面长度"/>
      <sheetName val="XL4Poppy"/>
      <sheetName val="承台(砖模) "/>
      <sheetName val="柱"/>
      <sheetName val="施工参考单价报价表"/>
      <sheetName val="其它工作项目报价清单"/>
      <sheetName val="甲指乙供材料报价表"/>
      <sheetName val="型材线密度表"/>
      <sheetName val="园建计算表1梁工"/>
      <sheetName val="目录"/>
      <sheetName val="5201.2004"/>
      <sheetName val="门窗表"/>
      <sheetName val="厨厕通用"/>
      <sheetName val="地坪"/>
      <sheetName val="sk4"/>
      <sheetName val=""/>
      <sheetName val="防水指标"/>
      <sheetName val="基础数据"/>
      <sheetName val="设置"/>
      <sheetName val="B4零星"/>
      <sheetName val="KKKKKKKK"/>
      <sheetName val="Financ. Overview"/>
      <sheetName val="公路1"/>
      <sheetName val="建筑面积 "/>
      <sheetName val="热力"/>
      <sheetName val="凤凰城H区签证-徐静"/>
      <sheetName val="梁"/>
      <sheetName val="辅助表(11大堂)"/>
      <sheetName val="工程量"/>
      <sheetName val="Main"/>
      <sheetName val="（附表4-1）工程任务书1"/>
      <sheetName val="WWMSSKZN"/>
      <sheetName val="审核明细（第二期）"/>
      <sheetName val="_x005f_x005f_x005f_x0000__x005f_x005f_x005f_x0000__x005"/>
      <sheetName val="工程量清单全费用综合单价计价表"/>
      <sheetName val="材料价格表(立面）"/>
      <sheetName val="出図表"/>
      <sheetName val="实体项目(0上)"/>
      <sheetName val="措施项目(0上)"/>
      <sheetName val="钢筋(0上)"/>
      <sheetName val="实体项目(0下)"/>
      <sheetName val="外立面装修"/>
      <sheetName val="未列项目清单计价表(0上) "/>
      <sheetName val="措施项目(0下)"/>
      <sheetName val="钢筋(0下)"/>
      <sheetName val="钢结构"/>
      <sheetName val="建筑汇总表"/>
      <sheetName val="地花 天花"/>
      <sheetName val="外墙块料"/>
      <sheetName val="外墙装饰工程量"/>
      <sheetName val="内、外墙挂网"/>
      <sheetName val="内墙抹灰、油漆、面砖"/>
      <sheetName val="内墙面"/>
      <sheetName val=" 柱"/>
      <sheetName val="屋面防水和卫生间防水"/>
      <sheetName val="天棚、楼地面（初）"/>
      <sheetName val="柱面砖"/>
      <sheetName val="楼梯栏杆及底座抛光砖"/>
      <sheetName val="楼梯栏杆及底座及花岗石"/>
      <sheetName val="钢结构计算表"/>
      <sheetName val="其他工程"/>
      <sheetName val="其它"/>
      <sheetName val="栏杆"/>
      <sheetName val="楼梯抛光砖侧面"/>
      <sheetName val="夹层楼地面"/>
      <sheetName val="设备用房间ICI及踢脚线"/>
      <sheetName val="办公室ICI及踢脚线"/>
      <sheetName val="卫生间150X300瓷砖"/>
      <sheetName val="楼梯间天棚乳胶漆"/>
      <sheetName val="20宽填胶缝与25宽不锈钢装饰线"/>
      <sheetName val="_x005f_x005f_x005f_x005f_x005f_x005f_x005f_x0000__x005f"/>
      <sheetName val="外立面"/>
      <sheetName val="东一一层方柱砼"/>
      <sheetName val="建筑面积及脚手架"/>
      <sheetName val="_x005f_x005f_x005f_x005f_x005f_x005f_x005f_x005f_x005f_x005f_"/>
      <sheetName val="_x005f_x0000__x005f_x0000__x005f_x0000__x005f_x0000__x0"/>
      <sheetName val="3.基础梁"/>
      <sheetName val="_x005f_x0000__x005f_x0000__x005"/>
      <sheetName val="_x005f_x005f_x005f_x0000__x005f"/>
      <sheetName val="录入参数"/>
      <sheetName val="_x005f_x0000__x005f"/>
      <sheetName val="_x005f_x005f_x005f_x005f_"/>
      <sheetName val="改加胶玻璃、室外栏杆"/>
      <sheetName val="单价表"/>
      <sheetName val="面积指标"/>
      <sheetName val="计算表1"/>
      <sheetName val="装饰部分"/>
      <sheetName val="C、D区室外铺贴工程量计算书"/>
      <sheetName val="B3#楼措施汇总"/>
      <sheetName val="H88清单编制"/>
      <sheetName val="25单位工程人材机汇总表"/>
      <sheetName val="25单位工程人材机汇总表2"/>
      <sheetName val="地面工程"/>
      <sheetName val="天棚工程"/>
      <sheetName val="块料名称"/>
      <sheetName val="Sheet1"/>
      <sheetName val="成本动态台帐"/>
      <sheetName val="成本测算"/>
      <sheetName val="非机动车道、车道"/>
      <sheetName val="date"/>
      <sheetName val="成本项目"/>
      <sheetName val="车库柱"/>
      <sheetName val="2001取费"/>
      <sheetName val="_x005f_x005f_"/>
      <sheetName val="计算稿"/>
      <sheetName val="输入栏"/>
      <sheetName val="点表"/>
      <sheetName val="分部分项工程量清单数据收集表"/>
      <sheetName val="五月份"/>
      <sheetName val="现场签证"/>
      <sheetName val="Elem Cost"/>
      <sheetName val="_x005f_x005f_x005f_x005f_x005f_x005f_x005f_x005f_"/>
      <sheetName val="Bill-2.1（1）"/>
      <sheetName val="General"/>
      <sheetName val="_"/>
      <sheetName val="电气工程计算表"/>
      <sheetName val="总措施项目"/>
      <sheetName val="综合单价表"/>
      <sheetName val="手工计算"/>
      <sheetName val="零星"/>
      <sheetName val="商业（3F）(含±0.00以下)"/>
      <sheetName val="YJ140(18F)(含±0.00以下)"/>
      <sheetName val="签证（27、28#）"/>
      <sheetName val="G51计算书"/>
      <sheetName val="G68计算书"/>
      <sheetName val="G60计算书"/>
      <sheetName val="G65计算书"/>
      <sheetName val="G61计算书"/>
      <sheetName val="13、14#计算书"/>
      <sheetName val="造价确认表"/>
      <sheetName val="34、H=500净间距130mm"/>
      <sheetName val="31、H=460mm"/>
      <sheetName val="名称"/>
      <sheetName val="anti-termite"/>
      <sheetName val="增加项目（塔楼栏杆、雨篷、百叶窗、钢梁）"/>
      <sheetName val="19#楼(作废)"/>
      <sheetName val="单价分析过程"/>
      <sheetName val="主要材料价格表 (2)"/>
      <sheetName val="#REF"/>
      <sheetName val="list"/>
      <sheetName val="Toolbox"/>
      <sheetName val="签证汇总表"/>
      <sheetName val="百叶"/>
      <sheetName val="剁琥"/>
      <sheetName val="剁琥黄锈石"/>
      <sheetName val="光面"/>
      <sheetName val="荔枝"/>
      <sheetName val="荔枝黄锈石"/>
      <sheetName val="哑面"/>
      <sheetName val="Aging Datasheet"/>
      <sheetName val="ECCS_1 DataSheet"/>
      <sheetName val="KPI Datasheet"/>
      <sheetName val="97取费(定额直接费)"/>
      <sheetName val="工程量清单(原价)"/>
      <sheetName val="Data"/>
      <sheetName val="按楼盘统计"/>
      <sheetName val="建筑面积及其它"/>
      <sheetName val="±0.00以下清单"/>
      <sheetName val="±0.0以下工程量"/>
      <sheetName val="±00以上墙抹灰"/>
      <sheetName val="北塔装饰工程量计算式"/>
      <sheetName val="실행철강하도"/>
      <sheetName val="A户型计算式"/>
      <sheetName val="表3"/>
      <sheetName val="电缆以及拉线井"/>
      <sheetName val="楼梯钢筋"/>
      <sheetName val="________"/>
      <sheetName val="_____x0"/>
      <sheetName val="保安视频监控系统"/>
      <sheetName val="内部主要成本"/>
      <sheetName val="CD-실적"/>
      <sheetName val="门窗表 "/>
      <sheetName val="零星构件"/>
      <sheetName val="数据库"/>
      <sheetName val="±0.00以下分部分项工程量清单与计价表"/>
      <sheetName val="(31)H28-c(简)(金属饰架)"/>
      <sheetName val="(13)H31-c(简)(900)(弧形凸肚)"/>
      <sheetName val="1、围墙5 H=2180mm@120"/>
      <sheetName val="5.不锈钢爬梯"/>
      <sheetName val="3、单飘花架2"/>
      <sheetName val="4、水池不锈钢箅子"/>
      <sheetName val="2、单飘花架1"/>
      <sheetName val="集水井排水箅子"/>
      <sheetName val="41.H=550"/>
      <sheetName val="147.上人孔盖800x800"/>
      <sheetName val="170、不锈钢靠墙扶手05ZJ401-27-1"/>
      <sheetName val="外墙变形缝 1.5厚铝合金板 "/>
      <sheetName val="工程量计算"/>
      <sheetName val="CUT1"/>
      <sheetName val="综合单价分析表"/>
      <sheetName val="A1、A2单价分析表"/>
      <sheetName val="A20单价分析表"/>
      <sheetName val="A20栋清单"/>
      <sheetName val="A21、A22单价分析表"/>
      <sheetName val="A21、22栋清单"/>
      <sheetName val="A3-4单价分析表"/>
      <sheetName val="A3门窗清单"/>
      <sheetName val="A4门窗清单"/>
      <sheetName val="B1、B2、B4-B7栋清单"/>
      <sheetName val="B1、B2、B4-B7单价分析表"/>
      <sheetName val="B1幕墙价分析表"/>
      <sheetName val="B1幕墙"/>
      <sheetName val="B2幕墙价分析表"/>
      <sheetName val="B2幕墙"/>
      <sheetName val="B3幕墙价分析表"/>
      <sheetName val="B3幕墙"/>
      <sheetName val="B3栋清单"/>
      <sheetName val="B4幕墙价分析表"/>
      <sheetName val="B4幕墙"/>
      <sheetName val="B5幕墙价分析表"/>
      <sheetName val="B5幕墙"/>
      <sheetName val="B6幕墙价分析表"/>
      <sheetName val="B6幕墙"/>
      <sheetName val="B7幕墙价分析表"/>
      <sheetName val="B7幕墙"/>
      <sheetName val="售楼部单价分析表"/>
      <sheetName val="售楼部"/>
      <sheetName val="小学单价分析表"/>
      <sheetName val="小学"/>
      <sheetName val="幼儿园单价分析表"/>
      <sheetName val="幼儿园"/>
      <sheetName val="主材表"/>
      <sheetName val="板工程量计算"/>
      <sheetName val="平窗"/>
      <sheetName val="主材"/>
      <sheetName val="葛安民(设计员)"/>
      <sheetName val="价格表"/>
      <sheetName val="工程量计算书"/>
      <sheetName val="付款进度表"/>
      <sheetName val="主要材料调差表"/>
      <sheetName val="除块料石材以外工程分部分项计价表"/>
      <sheetName val="石材分部分项计价表"/>
      <sheetName val="室内块料分部分项计价表"/>
      <sheetName val="A户型清单"/>
      <sheetName val="B户型清单"/>
      <sheetName val="E户型清单"/>
      <sheetName val="F户型清单"/>
      <sheetName val="G户型清单"/>
      <sheetName val="H户型清单"/>
      <sheetName val="措施项目费分析表"/>
      <sheetName val="装饰汇总"/>
      <sheetName val="SW-TEO"/>
      <sheetName val="报价汇总"/>
      <sheetName val="赶工费收入"/>
      <sheetName val="11年计划"/>
      <sheetName val="字段"/>
      <sheetName val="用量计算"/>
      <sheetName val="常用项目"/>
      <sheetName val="售楼部幕墙清单"/>
      <sheetName val="外墙保温涂料"/>
      <sheetName val="A1、A2栏杆和百叶清单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eqpmad2"/>
      <sheetName val="UFPrn20020708110604"/>
      <sheetName val=""/>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说明"/>
      <sheetName val="销量"/>
      <sheetName val="共享"/>
      <sheetName val="促销活动"/>
      <sheetName val="活动"/>
      <sheetName val="总表"/>
      <sheetName val="POWER ASSUMPTIONS"/>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B"/>
      <sheetName val="趋势图"/>
      <sheetName val="折旧测试"/>
      <sheetName val="XL4Poppy"/>
      <sheetName val="应收账款及预收账款明细表"/>
      <sheetName val="81180截止测试"/>
      <sheetName val="营业收入"/>
      <sheetName val="81130主营月份"/>
      <sheetName val="存货明细表 "/>
      <sheetName val="54131"/>
      <sheetName val="存货成本重算"/>
      <sheetName val="投资性房地产"/>
      <sheetName val="占地面积统计表"/>
      <sheetName val="企业表一"/>
      <sheetName val="M-5C"/>
      <sheetName val="M-5A"/>
      <sheetName val="Sheet1"/>
      <sheetName val="应收账款明细表"/>
      <sheetName val="应付－武汉运盛钢铁贸易有限公司"/>
      <sheetName val="襄樊鼎益机电有限公司"/>
      <sheetName val="会计科目"/>
      <sheetName val="盈余公积 （合并)"/>
      <sheetName val="包增减变动"/>
      <sheetName val="#REF!"/>
      <sheetName val="CF"/>
      <sheetName val="长期股权投资"/>
      <sheetName val="封面"/>
      <sheetName val="总分类账"/>
      <sheetName val="固定资产明细表"/>
      <sheetName val="固及累及减值"/>
      <sheetName val="56261盘点"/>
      <sheetName val="货币资金"/>
      <sheetName val="其他应收明细表"/>
      <sheetName val="在建工程审计说明"/>
      <sheetName val="124301 查询"/>
      <sheetName val="经贸库存商品"/>
      <sheetName val="户名"/>
      <sheetName val="inf"/>
      <sheetName val="Third party"/>
      <sheetName val="82130其他"/>
      <sheetName val="表4-12"/>
      <sheetName val="核算项目余额表"/>
      <sheetName val="G.1R-Shou COP Gf"/>
      <sheetName val="KKKKKKKK"/>
      <sheetName val="SMCTSSP2"/>
      <sheetName val="Market share"/>
      <sheetName val="fs(for Consol)"/>
      <sheetName val="10-2.固定资产处置表"/>
      <sheetName val="资产表横向"/>
      <sheetName val="目录"/>
      <sheetName val="期初调整"/>
      <sheetName val="平均年限法(基于入账原值和入账预计使用期间)"/>
      <sheetName val="SW-TEO"/>
      <sheetName val="Open"/>
      <sheetName val="现金流量表2"/>
      <sheetName val="现金流量表3"/>
      <sheetName val="00000000"/>
      <sheetName val="Sheet2"/>
      <sheetName val="2002年3月份"/>
      <sheetName val="2004年4月份"/>
      <sheetName val="Sheet3"/>
      <sheetName val="Menu"/>
      <sheetName val="表1(汇总）"/>
      <sheetName val="表1 质管部(14)"/>
      <sheetName val="表1财务部(16) "/>
      <sheetName val="表1行政部(16)"/>
      <sheetName val="表1采购部(3)"/>
      <sheetName val="表1设备部(9)"/>
      <sheetName val="表1生产部(7)"/>
      <sheetName val="总经办"/>
      <sheetName val="表2"/>
      <sheetName val="Calendar"/>
      <sheetName val="表1"/>
      <sheetName val="表3"/>
      <sheetName val="表4"/>
      <sheetName val="表5"/>
      <sheetName val="表6"/>
      <sheetName val="表7"/>
      <sheetName val="表8"/>
      <sheetName val="表9"/>
      <sheetName val="表10"/>
      <sheetName val="表11"/>
      <sheetName val="表12"/>
      <sheetName val="表13"/>
      <sheetName val="表14"/>
      <sheetName val="表14 -1"/>
      <sheetName val="表14 -2"/>
      <sheetName val="表15"/>
      <sheetName val="仓储"/>
      <sheetName val="维修"/>
      <sheetName val="蒸汽"/>
      <sheetName val="供电"/>
      <sheetName val="污水"/>
      <sheetName val=" 能源"/>
      <sheetName val="供水"/>
      <sheetName val="空压"/>
      <sheetName val="制泠"/>
      <sheetName val="二氧化碳"/>
      <sheetName val="酿造"/>
      <sheetName val="包一"/>
      <sheetName val="包二"/>
      <sheetName val="包三"/>
      <sheetName val="总公司"/>
      <sheetName val="绿叶24"/>
      <sheetName val="绿叶12"/>
      <sheetName val="绿叶10"/>
      <sheetName val="清爽绿叶24"/>
      <sheetName val="清爽绿叶12"/>
      <sheetName val="散扎酒"/>
      <sheetName val="单位成本"/>
      <sheetName val="⬫⬫礫剑干啤（累"/>
      <sheetName val="固定资产折旧测试"/>
      <sheetName val="Main"/>
      <sheetName val="__礫剑干啤（累"/>
      <sheetName val="ÏÖ½ðÁ÷Á¿±í2"/>
      <sheetName val="ÏÖ½ðÁ÷Á¿±í3"/>
      <sheetName val="2002Äê3ÔÂ·Ý"/>
      <sheetName val="2004Äê4ÔÂ·Ý"/>
      <sheetName val="±í1(»ã×Ü£©"/>
      <sheetName val="±í1 ÖÊ¹Ü²¿(14)"/>
      <sheetName val="±í1²ÆÎñ²¿(16) "/>
      <sheetName val="±í1ÐÐÕþ²¿(16)"/>
      <sheetName val="±í1²É¹º²¿(3)"/>
      <sheetName val="±í1Éè±¸²¿(9)"/>
      <sheetName val="±í1Éú²ú²¿(7)"/>
      <sheetName val="×Ü¾­°ì"/>
      <sheetName val="±í2"/>
      <sheetName val="±í1"/>
      <sheetName val="±í3"/>
      <sheetName val="±í4"/>
      <sheetName val="±í5"/>
      <sheetName val="±í6"/>
      <sheetName val="±í7"/>
      <sheetName val="±í8"/>
      <sheetName val="±í9"/>
      <sheetName val="±í10"/>
      <sheetName val="±í11"/>
      <sheetName val="±í12"/>
      <sheetName val="±í13"/>
      <sheetName val="±í14"/>
      <sheetName val="±í14 -1"/>
      <sheetName val="±í14 -2"/>
      <sheetName val="±í15"/>
      <sheetName val="²Ö´¢"/>
      <sheetName val="Î¬ÐÞ"/>
      <sheetName val="ÕôÆû"/>
      <sheetName val="¹©µç"/>
      <sheetName val="ÎÛË®"/>
      <sheetName val=" ÄÜÔ´"/>
      <sheetName val="¹©Ë®"/>
      <sheetName val="¿ÕÑ¹"/>
      <sheetName val="ÖÆãö"/>
      <sheetName val="¶þÑõ»¯Ì¼"/>
      <sheetName val="ÄðÔì"/>
      <sheetName val="°üÒ»"/>
      <sheetName val="°ü¶þ"/>
      <sheetName val="°üÈý"/>
      <sheetName val="×Ü¹«Ë¾"/>
      <sheetName val="ÂÌÒ¶24"/>
      <sheetName val="ÂÌÒ¶12"/>
      <sheetName val="ÂÌÒ¶10"/>
      <sheetName val="ÇåË¬ÂÌÒ¶24"/>
      <sheetName val="ÇåË¬ÂÌÒ¶12"/>
      <sheetName val="É¢Ôú¾Æ"/>
      <sheetName val="µ¥Î»³É±¾"/>
      <sheetName val="__µ_½£¸ÉÆ¡£¨ÀÛ"/>
      <sheetName val="¹Ì¶¨×Ê²úÕÛ¾É²âÊÔ"/>
      <sheetName val="Links"/>
      <sheetName val="Lead"/>
      <sheetName val="___e¨¢¡Â¨¢_¡À¨ª2"/>
      <sheetName val="___e¨¢¡Â¨¢_¡À¨ª3"/>
      <sheetName val="2002_¨º3__¡¤Y"/>
      <sheetName val="2004_¨º4__¡¤Y"/>
      <sheetName val="¡À¨ª1(__¡Á¨¹¡ê_"/>
      <sheetName val="¡À¨ª1 _¨º1¨¹2_(14)"/>
      <sheetName val="¡À¨ª12___2_(16) "/>
      <sheetName val="¡À¨ª1DD_t2_(16)"/>
      <sheetName val="¡À¨ª12¨¦1o2_(3)"/>
      <sheetName val="¡À¨ª1¨¦¨¨¡À_2_(9)"/>
      <sheetName val="¡À¨ª1¨¦¨²2¨²2_(7)"/>
      <sheetName val="¡Á¨¹_-¡ã¨¬"/>
      <sheetName val="¡À¨ª2"/>
      <sheetName val="¡À¨ª1"/>
      <sheetName val="¡À¨ª3"/>
      <sheetName val="¡À¨ª4"/>
      <sheetName val="¡À¨ª5"/>
      <sheetName val="¡À¨ª6"/>
      <sheetName val="¡À¨ª7"/>
      <sheetName val="¡À¨ª8"/>
      <sheetName val="¡À¨ª9"/>
      <sheetName val="¡À¨ª10"/>
      <sheetName val="¡À¨ª11"/>
      <sheetName val="¡À¨ª12"/>
      <sheetName val="¡À¨ª13"/>
      <sheetName val="¡À¨ª14"/>
      <sheetName val="¡À¨ª14 -1"/>
      <sheetName val="¡À¨ª14 -2"/>
      <sheetName val="¡À¨ª15"/>
      <sheetName val="2_¡ä¡é"/>
      <sheetName val="__DT"/>
      <sheetName val="____"/>
      <sheetName val="1_¦Ì_"/>
      <sheetName val=" _¨¹_¡ä"/>
      <sheetName val="1___"/>
      <sheetName val="___1"/>
      <sheetName val="_t___¡¥¨¬_"/>
      <sheetName val="_e_¨¬"/>
      <sheetName val="¡ã¨¹¨°_"/>
      <sheetName val="¡ã¨¹_t"/>
      <sheetName val="¡ã¨¹¨¨y"/>
      <sheetName val="¡Á¨¹1___"/>
      <sheetName val="_¨¬¨°_24"/>
      <sheetName val="_¨¬¨°_12"/>
      <sheetName val="_¨¬¨°_10"/>
      <sheetName val="_____¨¬¨°_24"/>
      <sheetName val="_____¨¬¨°_12"/>
      <sheetName val="¨¦¡é_¨²__"/>
      <sheetName val="¦Ì£¤__3¨¦¡À_"/>
      <sheetName val="__¦Ì__¡ê_¨¦__¡ê¡§¨¤_"/>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Ì_¡Â"/>
      <sheetName val="_¨²¨¢_"/>
      <sheetName val="12_¨ª"/>
      <sheetName val="¡ä¨´_¨²___¡¥"/>
      <sheetName val="___¡¥"/>
      <sheetName val="¡Á¨¹¡À¨ª"/>
      <sheetName val="1¨¬_¡§¡Á¨º2¨²___¨¦2a¨º_"/>
      <sheetName val="SW_TEO"/>
      <sheetName val="00000ppy"/>
      <sheetName val="财务成本"/>
      <sheetName val="变更项汇总表 (2)"/>
      <sheetName val="按投标图部分"/>
      <sheetName val="按施工图"/>
      <sheetName val="填报指引"/>
      <sheetName val="S1单价表"/>
      <sheetName val="S2地下室"/>
      <sheetName val="S3旅游餐饮街"/>
      <sheetName val="S4写字楼"/>
      <sheetName val="S5独立商业楼"/>
      <sheetName val="S6公寓楼"/>
      <sheetName val="组价明细表"/>
      <sheetName val="S15会所"/>
      <sheetName val="招标清单面积表"/>
      <sheetName val="措施费"/>
      <sheetName val="T型房"/>
      <sheetName val="电梯厅"/>
      <sheetName val="走廊"/>
      <sheetName val="隔墙"/>
      <sheetName val="家具"/>
      <sheetName val="灯具"/>
      <sheetName val="装饰品"/>
      <sheetName val="绵阳万达公共区域工程量清单 修正版3"/>
      <sheetName val="RecoveredExternalLink16"/>
      <sheetName val="RecoveredExternalLink13"/>
      <sheetName val="RecoveredExternalLink15"/>
      <sheetName val="清单总目录"/>
      <sheetName val="投标总价表"/>
      <sheetName val="措施项目清单计价表"/>
      <sheetName val="其它项目清单计价汇总表"/>
      <sheetName val="材料暂估价表"/>
      <sheetName val="专业工程暂估价表"/>
      <sheetName val="总承包服务费计价表"/>
      <sheetName val="1∽9#土建工程量清单计价汇总表"/>
      <sheetName val="大商业部分清单"/>
      <sheetName val="酒店部分清单"/>
      <sheetName val="土建工程综合单价表"/>
      <sheetName val="土建工程综合单价组价明细表"/>
      <sheetName val="投标总价"/>
      <sheetName val="总价汇总表"/>
      <sheetName val="分部分项汇总表"/>
      <sheetName val="措施项目清单"/>
      <sheetName val="门窗工程清单分部分项计价表"/>
      <sheetName val="门窗工程清单分部分项计价表 (2)"/>
      <sheetName val="综合单价明细表5.0"/>
      <sheetName val="5.1综合单价组价分析详表"/>
      <sheetName val="5.2 型材单价分析表"/>
      <sheetName val="5.3 玻璃单价分析表"/>
      <sheetName val="5.4 五金单价分析表"/>
      <sheetName val="6.0 铝型材米重一览表"/>
      <sheetName val="7.0 主要材料一览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汇总表"/>
      <sheetName val="措施费"/>
      <sheetName val="T型房"/>
      <sheetName val="电梯厅"/>
      <sheetName val="走廊"/>
      <sheetName val="隔墙"/>
      <sheetName val="家具"/>
      <sheetName val="灯具"/>
      <sheetName val="装饰品"/>
      <sheetName val="Sheet1"/>
      <sheetName val="绵阳万达公共区域工程量清单 修正版3"/>
      <sheetName val="RecoveredExternalLink16"/>
      <sheetName val="RecoveredExternalLink13"/>
      <sheetName val="RecoveredExternalLink15"/>
      <sheetName val="eqpma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基本设置"/>
      <sheetName val="数据"/>
      <sheetName val="水平区"/>
      <sheetName val="子管理区"/>
      <sheetName val="干线区"/>
      <sheetName val="主管理区"/>
      <sheetName val="设备清单"/>
      <sheetName val="设备清单 (2)"/>
      <sheetName val="工具"/>
      <sheetName val="Macro1"/>
      <sheetName val="Macro3"/>
      <sheetName val="eqpmad2"/>
      <sheetName val="Financ. Overview"/>
      <sheetName val="Toolbox"/>
      <sheetName val="SW-TEO"/>
      <sheetName val="temp"/>
      <sheetName val="#REF!"/>
      <sheetName val="2.1设计部"/>
      <sheetName val="汇总"/>
      <sheetName val="POWER ASSUMPTIONS"/>
      <sheetName val="Open"/>
      <sheetName val="07水"/>
      <sheetName val="主要规划指标"/>
      <sheetName val="营业收入和税金及附加估算表"/>
      <sheetName val="XL4Poppy"/>
      <sheetName val="单价分析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给排水设置"/>
      <sheetName val="给排水计算"/>
      <sheetName val="给排水汇总"/>
      <sheetName val="#REF!"/>
      <sheetName val="SW-TEO"/>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BJ278"/>
  <sheetViews>
    <sheetView tabSelected="1" view="pageBreakPreview" zoomScale="80" zoomScaleNormal="66" workbookViewId="0">
      <selection activeCell="M160" sqref="M160"/>
    </sheetView>
  </sheetViews>
  <sheetFormatPr defaultColWidth="9" defaultRowHeight="16.5"/>
  <cols>
    <col min="1" max="1" width="5.12727272727273" style="16" customWidth="1"/>
    <col min="2" max="2" width="18.5" style="17" customWidth="1"/>
    <col min="3" max="3" width="20.8727272727273" style="17" customWidth="1"/>
    <col min="4" max="4" width="12.3727272727273" style="17" customWidth="1" outlineLevel="1"/>
    <col min="5" max="5" width="27.2545454545455" style="17" customWidth="1" outlineLevel="1"/>
    <col min="6" max="6" width="8.12727272727273" style="18" customWidth="1"/>
    <col min="7" max="8" width="11.5" style="19" customWidth="1" outlineLevel="1"/>
    <col min="9" max="10" width="9" style="19" customWidth="1" outlineLevel="1"/>
    <col min="11" max="11" width="20.6272727272727" style="19" customWidth="1" outlineLevel="1"/>
    <col min="12" max="12" width="13.7545454545455" style="20" customWidth="1"/>
    <col min="13" max="13" width="18.6272727272727" style="17" customWidth="1"/>
    <col min="14" max="17" width="11.5" style="21" customWidth="1"/>
    <col min="18" max="18" width="10.6272727272727" style="22" customWidth="1"/>
    <col min="19" max="19" width="21.5" style="23" customWidth="1"/>
    <col min="20" max="16384" width="9" style="17"/>
  </cols>
  <sheetData>
    <row r="1" ht="68" customHeight="1" spans="1:62">
      <c r="A1" s="24" t="s">
        <v>0</v>
      </c>
      <c r="B1" s="24"/>
      <c r="C1" s="24"/>
      <c r="D1" s="24"/>
      <c r="E1" s="24"/>
      <c r="F1" s="24"/>
      <c r="G1" s="24"/>
      <c r="H1" s="24"/>
      <c r="I1" s="24"/>
      <c r="J1" s="24"/>
      <c r="K1" s="24"/>
      <c r="L1" s="24"/>
      <c r="M1" s="24"/>
      <c r="N1" s="24"/>
      <c r="O1" s="24"/>
      <c r="P1" s="24"/>
      <c r="Q1" s="24"/>
      <c r="R1" s="24"/>
      <c r="S1" s="24"/>
    </row>
    <row r="2" ht="39" customHeight="1" spans="1:62">
      <c r="A2" s="25"/>
      <c r="B2" s="25"/>
      <c r="C2" s="25"/>
      <c r="D2" s="25"/>
      <c r="E2" s="25"/>
      <c r="F2" s="25"/>
      <c r="G2" s="26" t="s">
        <v>1</v>
      </c>
      <c r="H2" s="26"/>
      <c r="I2" s="26"/>
      <c r="J2" s="26"/>
      <c r="K2" s="26"/>
      <c r="L2" s="26"/>
      <c r="M2" s="26"/>
      <c r="N2" s="27" t="s">
        <v>2</v>
      </c>
      <c r="O2" s="28"/>
      <c r="P2" s="28"/>
      <c r="Q2" s="29"/>
      <c r="R2" s="30"/>
    </row>
    <row r="3" customHeight="1" spans="1:62">
      <c r="A3" s="31" t="s">
        <v>3</v>
      </c>
      <c r="B3" s="32" t="s">
        <v>4</v>
      </c>
      <c r="C3" s="32" t="s">
        <v>5</v>
      </c>
      <c r="D3" s="33" t="s">
        <v>6</v>
      </c>
      <c r="E3" s="33" t="s">
        <v>7</v>
      </c>
      <c r="F3" s="32" t="s">
        <v>8</v>
      </c>
      <c r="G3" s="34"/>
      <c r="H3" s="34"/>
      <c r="I3" s="34"/>
      <c r="J3" s="34"/>
      <c r="K3" s="35" t="s">
        <v>9</v>
      </c>
      <c r="L3" s="36" t="s">
        <v>10</v>
      </c>
      <c r="M3" s="37" t="s">
        <v>11</v>
      </c>
      <c r="N3" s="38"/>
      <c r="O3" s="39"/>
      <c r="P3" s="39"/>
      <c r="Q3" s="40"/>
      <c r="R3" s="41" t="s">
        <v>12</v>
      </c>
      <c r="S3" s="42" t="s">
        <v>11</v>
      </c>
    </row>
    <row r="4" ht="33" customHeight="1" spans="1:62">
      <c r="A4" s="31"/>
      <c r="B4" s="32"/>
      <c r="C4" s="32"/>
      <c r="D4" s="33"/>
      <c r="E4" s="33"/>
      <c r="F4" s="32"/>
      <c r="G4" s="35" t="s">
        <v>13</v>
      </c>
      <c r="H4" s="35" t="s">
        <v>14</v>
      </c>
      <c r="I4" s="35" t="s">
        <v>15</v>
      </c>
      <c r="J4" s="35" t="s">
        <v>16</v>
      </c>
      <c r="K4" s="35"/>
      <c r="L4" s="36"/>
      <c r="M4" s="37"/>
      <c r="N4" s="35" t="s">
        <v>13</v>
      </c>
      <c r="O4" s="35" t="s">
        <v>14</v>
      </c>
      <c r="P4" s="35" t="s">
        <v>15</v>
      </c>
      <c r="Q4" s="35" t="s">
        <v>17</v>
      </c>
      <c r="R4" s="41"/>
      <c r="S4" s="42"/>
    </row>
    <row r="5" ht="13.5" customHeight="1" spans="1:62">
      <c r="A5" s="31"/>
      <c r="B5" s="32"/>
      <c r="C5" s="32"/>
      <c r="D5" s="33"/>
      <c r="E5" s="33"/>
      <c r="F5" s="32"/>
      <c r="G5" s="35"/>
      <c r="H5" s="35"/>
      <c r="I5" s="35"/>
      <c r="J5" s="35"/>
      <c r="K5" s="35"/>
      <c r="L5" s="36"/>
      <c r="M5" s="37"/>
      <c r="N5" s="35"/>
      <c r="O5" s="35"/>
      <c r="P5" s="35"/>
      <c r="Q5" s="35"/>
      <c r="R5" s="41"/>
      <c r="S5" s="42"/>
    </row>
    <row r="6" s="14" customFormat="1" ht="22.5" customHeight="1" spans="1:62">
      <c r="A6" s="43" t="s">
        <v>18</v>
      </c>
      <c r="B6" s="43"/>
      <c r="C6" s="43"/>
      <c r="D6" s="44"/>
      <c r="E6" s="44"/>
      <c r="F6" s="44"/>
      <c r="G6" s="44"/>
      <c r="H6" s="44"/>
      <c r="I6" s="44"/>
      <c r="J6" s="44"/>
      <c r="K6" s="44"/>
      <c r="L6" s="44"/>
      <c r="M6" s="44"/>
      <c r="N6" s="45"/>
      <c r="O6" s="45"/>
      <c r="P6" s="45"/>
      <c r="Q6" s="45"/>
      <c r="R6" s="46"/>
      <c r="S6" s="4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row>
    <row r="7" ht="26" spans="1:62">
      <c r="A7" s="48" t="s">
        <v>19</v>
      </c>
      <c r="B7" s="49" t="s">
        <v>20</v>
      </c>
      <c r="C7" s="50" t="s">
        <v>21</v>
      </c>
      <c r="D7" s="51" t="s">
        <v>22</v>
      </c>
      <c r="E7" s="52" t="s">
        <v>23</v>
      </c>
      <c r="F7" s="53" t="s">
        <v>24</v>
      </c>
      <c r="G7" s="54">
        <v>15.147</v>
      </c>
      <c r="H7" s="54"/>
      <c r="I7" s="55">
        <v>10.598921432</v>
      </c>
      <c r="J7" s="54">
        <f>G7+H7+I7</f>
        <v>25.745921432</v>
      </c>
      <c r="K7" s="54">
        <f>J7*0.2</f>
        <v>5.1491842864</v>
      </c>
      <c r="L7" s="32">
        <f>ROUND((J7+K7),0)</f>
        <v>31</v>
      </c>
      <c r="M7" s="56"/>
      <c r="N7" s="57">
        <f t="shared" ref="N7:N39" si="0">+R7/L7*G7</f>
        <v>12.2153225806452</v>
      </c>
      <c r="O7" s="57">
        <f t="shared" ref="O7:O39" si="1">+R7/L7*H7</f>
        <v>0</v>
      </c>
      <c r="P7" s="57">
        <f t="shared" ref="P7:P39" si="2">+R7/L7*I7</f>
        <v>8.54751728387097</v>
      </c>
      <c r="Q7" s="57">
        <f t="shared" ref="Q7:Q70" si="3">SUM(N7:P7)</f>
        <v>20.7628398645161</v>
      </c>
      <c r="R7" s="58">
        <v>25</v>
      </c>
      <c r="S7" s="59"/>
    </row>
    <row r="8" ht="58" spans="1:62">
      <c r="A8" s="48" t="s">
        <v>25</v>
      </c>
      <c r="B8" s="49" t="s">
        <v>26</v>
      </c>
      <c r="C8" s="60" t="s">
        <v>27</v>
      </c>
      <c r="D8" s="51" t="s">
        <v>22</v>
      </c>
      <c r="E8" s="52" t="s">
        <v>28</v>
      </c>
      <c r="F8" s="53" t="s">
        <v>24</v>
      </c>
      <c r="G8" s="54">
        <v>59.6904</v>
      </c>
      <c r="H8" s="54">
        <v>49.665</v>
      </c>
      <c r="I8" s="54">
        <v>15.77532</v>
      </c>
      <c r="J8" s="61">
        <f t="shared" ref="J7:J39" si="4">G8+H8+I8</f>
        <v>125.13072</v>
      </c>
      <c r="K8" s="54">
        <f>J8*0.1</f>
        <v>12.513072</v>
      </c>
      <c r="L8" s="32">
        <f>ROUND((J8+K8),0)</f>
        <v>138</v>
      </c>
      <c r="M8" s="62"/>
      <c r="N8" s="57">
        <f t="shared" si="0"/>
        <v>62.7181739130435</v>
      </c>
      <c r="O8" s="57">
        <f t="shared" si="1"/>
        <v>52.1842391304348</v>
      </c>
      <c r="P8" s="57">
        <f t="shared" si="2"/>
        <v>16.5755173913043</v>
      </c>
      <c r="Q8" s="57">
        <f t="shared" si="3"/>
        <v>131.477930434783</v>
      </c>
      <c r="R8" s="58">
        <v>145</v>
      </c>
      <c r="S8" s="59"/>
    </row>
    <row r="9" ht="65" spans="1:62">
      <c r="A9" s="48" t="s">
        <v>29</v>
      </c>
      <c r="B9" s="63" t="s">
        <v>30</v>
      </c>
      <c r="C9" s="64" t="s">
        <v>31</v>
      </c>
      <c r="D9" s="51" t="s">
        <v>22</v>
      </c>
      <c r="E9" s="52" t="s">
        <v>32</v>
      </c>
      <c r="F9" s="53" t="s">
        <v>24</v>
      </c>
      <c r="G9" s="54">
        <v>48.62</v>
      </c>
      <c r="H9" s="54"/>
      <c r="I9" s="55">
        <v>13</v>
      </c>
      <c r="J9" s="54">
        <f t="shared" si="4"/>
        <v>61.62</v>
      </c>
      <c r="K9" s="54">
        <f t="shared" ref="K9:K39" si="5">J9*0.1</f>
        <v>6.162</v>
      </c>
      <c r="L9" s="32">
        <f t="shared" ref="L7:L38" si="6">ROUND((J9+K9),0)</f>
        <v>68</v>
      </c>
      <c r="M9" s="62" t="s">
        <v>33</v>
      </c>
      <c r="N9" s="57">
        <f t="shared" si="0"/>
        <v>42.9</v>
      </c>
      <c r="O9" s="57">
        <f t="shared" si="1"/>
        <v>0</v>
      </c>
      <c r="P9" s="57">
        <f t="shared" si="2"/>
        <v>11.4705882352941</v>
      </c>
      <c r="Q9" s="57">
        <f t="shared" si="3"/>
        <v>54.3705882352941</v>
      </c>
      <c r="R9" s="58">
        <v>60</v>
      </c>
      <c r="S9" s="59" t="s">
        <v>33</v>
      </c>
    </row>
    <row r="10" ht="65" spans="1:62">
      <c r="A10" s="48" t="s">
        <v>34</v>
      </c>
      <c r="B10" s="63" t="s">
        <v>30</v>
      </c>
      <c r="C10" s="64" t="s">
        <v>35</v>
      </c>
      <c r="D10" s="51" t="s">
        <v>22</v>
      </c>
      <c r="E10" s="52" t="s">
        <v>32</v>
      </c>
      <c r="F10" s="53" t="s">
        <v>24</v>
      </c>
      <c r="G10" s="54">
        <v>50.49</v>
      </c>
      <c r="H10" s="54"/>
      <c r="I10" s="55">
        <v>13</v>
      </c>
      <c r="J10" s="54">
        <f t="shared" si="4"/>
        <v>63.49</v>
      </c>
      <c r="K10" s="54">
        <f t="shared" si="5"/>
        <v>6.349</v>
      </c>
      <c r="L10" s="32">
        <f t="shared" si="6"/>
        <v>70</v>
      </c>
      <c r="M10" s="62" t="s">
        <v>33</v>
      </c>
      <c r="N10" s="57">
        <f t="shared" si="0"/>
        <v>43.2771428571429</v>
      </c>
      <c r="O10" s="57">
        <f t="shared" si="1"/>
        <v>0</v>
      </c>
      <c r="P10" s="57">
        <f t="shared" si="2"/>
        <v>11.1428571428571</v>
      </c>
      <c r="Q10" s="57">
        <f t="shared" si="3"/>
        <v>54.42</v>
      </c>
      <c r="R10" s="58">
        <v>60</v>
      </c>
      <c r="S10" s="59" t="s">
        <v>33</v>
      </c>
    </row>
    <row r="11" ht="52" spans="1:62">
      <c r="A11" s="48" t="s">
        <v>36</v>
      </c>
      <c r="B11" s="63" t="s">
        <v>37</v>
      </c>
      <c r="C11" s="64" t="s">
        <v>38</v>
      </c>
      <c r="D11" s="51" t="s">
        <v>22</v>
      </c>
      <c r="E11" s="52" t="s">
        <v>32</v>
      </c>
      <c r="F11" s="53" t="s">
        <v>24</v>
      </c>
      <c r="G11" s="54">
        <v>52.36</v>
      </c>
      <c r="H11" s="54"/>
      <c r="I11" s="55">
        <v>13</v>
      </c>
      <c r="J11" s="54">
        <f t="shared" si="4"/>
        <v>65.36</v>
      </c>
      <c r="K11" s="54">
        <f t="shared" si="5"/>
        <v>6.536</v>
      </c>
      <c r="L11" s="32">
        <f t="shared" si="6"/>
        <v>72</v>
      </c>
      <c r="M11" s="62" t="s">
        <v>33</v>
      </c>
      <c r="N11" s="57">
        <f t="shared" si="0"/>
        <v>45.0877777777778</v>
      </c>
      <c r="O11" s="57">
        <f t="shared" si="1"/>
        <v>0</v>
      </c>
      <c r="P11" s="57">
        <f t="shared" si="2"/>
        <v>11.1944444444444</v>
      </c>
      <c r="Q11" s="57">
        <f t="shared" si="3"/>
        <v>56.2822222222222</v>
      </c>
      <c r="R11" s="58">
        <v>62</v>
      </c>
      <c r="S11" s="59"/>
    </row>
    <row r="12" ht="65" spans="1:62">
      <c r="A12" s="48" t="s">
        <v>39</v>
      </c>
      <c r="B12" s="63" t="s">
        <v>40</v>
      </c>
      <c r="C12" s="64" t="s">
        <v>41</v>
      </c>
      <c r="D12" s="51" t="s">
        <v>22</v>
      </c>
      <c r="E12" s="52" t="s">
        <v>32</v>
      </c>
      <c r="F12" s="53" t="s">
        <v>24</v>
      </c>
      <c r="G12" s="54">
        <v>54.23</v>
      </c>
      <c r="H12" s="54"/>
      <c r="I12" s="55">
        <v>13</v>
      </c>
      <c r="J12" s="54">
        <f t="shared" si="4"/>
        <v>67.23</v>
      </c>
      <c r="K12" s="54">
        <f t="shared" si="5"/>
        <v>6.723</v>
      </c>
      <c r="L12" s="32">
        <f t="shared" si="6"/>
        <v>74</v>
      </c>
      <c r="M12" s="62" t="s">
        <v>33</v>
      </c>
      <c r="N12" s="57">
        <f t="shared" si="0"/>
        <v>46.9016216216216</v>
      </c>
      <c r="O12" s="57">
        <f t="shared" si="1"/>
        <v>0</v>
      </c>
      <c r="P12" s="57">
        <f t="shared" si="2"/>
        <v>11.2432432432432</v>
      </c>
      <c r="Q12" s="57">
        <f t="shared" si="3"/>
        <v>58.1448648648649</v>
      </c>
      <c r="R12" s="58">
        <v>64</v>
      </c>
      <c r="S12" s="59"/>
    </row>
    <row r="13" ht="29" spans="1:62">
      <c r="A13" s="48" t="s">
        <v>42</v>
      </c>
      <c r="B13" s="63" t="s">
        <v>43</v>
      </c>
      <c r="C13" s="64" t="s">
        <v>44</v>
      </c>
      <c r="D13" s="65" t="s">
        <v>45</v>
      </c>
      <c r="E13" s="64" t="s">
        <v>46</v>
      </c>
      <c r="F13" s="53" t="s">
        <v>47</v>
      </c>
      <c r="G13" s="54">
        <v>22.6644</v>
      </c>
      <c r="H13" s="54">
        <v>17.64</v>
      </c>
      <c r="I13" s="55">
        <v>12.7908</v>
      </c>
      <c r="J13" s="54">
        <f t="shared" si="4"/>
        <v>53.0952</v>
      </c>
      <c r="K13" s="54">
        <f t="shared" si="5"/>
        <v>5.30952</v>
      </c>
      <c r="L13" s="32">
        <f t="shared" si="6"/>
        <v>58</v>
      </c>
      <c r="M13" s="66"/>
      <c r="N13" s="57">
        <f t="shared" si="0"/>
        <v>23.4459310344828</v>
      </c>
      <c r="O13" s="57">
        <f t="shared" si="1"/>
        <v>18.248275862069</v>
      </c>
      <c r="P13" s="57">
        <f t="shared" si="2"/>
        <v>13.2318620689655</v>
      </c>
      <c r="Q13" s="57">
        <f t="shared" si="3"/>
        <v>54.9260689655173</v>
      </c>
      <c r="R13" s="58">
        <v>60</v>
      </c>
      <c r="S13" s="59"/>
    </row>
    <row r="14" ht="91" spans="1:62">
      <c r="A14" s="48" t="s">
        <v>48</v>
      </c>
      <c r="B14" s="63" t="s">
        <v>49</v>
      </c>
      <c r="C14" s="64" t="s">
        <v>50</v>
      </c>
      <c r="D14" s="51" t="s">
        <v>22</v>
      </c>
      <c r="E14" s="52" t="s">
        <v>32</v>
      </c>
      <c r="F14" s="53" t="s">
        <v>24</v>
      </c>
      <c r="G14" s="54">
        <v>56.1</v>
      </c>
      <c r="H14" s="54"/>
      <c r="I14" s="55">
        <v>13</v>
      </c>
      <c r="J14" s="54">
        <f t="shared" si="4"/>
        <v>69.1</v>
      </c>
      <c r="K14" s="54">
        <f t="shared" si="5"/>
        <v>6.91</v>
      </c>
      <c r="L14" s="32">
        <f t="shared" si="6"/>
        <v>76</v>
      </c>
      <c r="M14" s="62" t="s">
        <v>33</v>
      </c>
      <c r="N14" s="57">
        <f t="shared" si="0"/>
        <v>48.7184210526316</v>
      </c>
      <c r="O14" s="57">
        <f t="shared" si="1"/>
        <v>0</v>
      </c>
      <c r="P14" s="57">
        <f t="shared" si="2"/>
        <v>11.2894736842105</v>
      </c>
      <c r="Q14" s="57">
        <f t="shared" si="3"/>
        <v>60.0078947368421</v>
      </c>
      <c r="R14" s="58">
        <v>66</v>
      </c>
      <c r="S14" s="59"/>
    </row>
    <row r="15" ht="65" spans="1:62">
      <c r="A15" s="48" t="s">
        <v>51</v>
      </c>
      <c r="B15" s="63" t="s">
        <v>52</v>
      </c>
      <c r="C15" s="64" t="s">
        <v>41</v>
      </c>
      <c r="D15" s="51" t="s">
        <v>22</v>
      </c>
      <c r="E15" s="64" t="s">
        <v>53</v>
      </c>
      <c r="F15" s="53" t="s">
        <v>24</v>
      </c>
      <c r="G15" s="54">
        <v>61.71</v>
      </c>
      <c r="H15" s="54"/>
      <c r="I15" s="55">
        <v>13</v>
      </c>
      <c r="J15" s="54">
        <f t="shared" si="4"/>
        <v>74.71</v>
      </c>
      <c r="K15" s="54">
        <f t="shared" si="5"/>
        <v>7.471</v>
      </c>
      <c r="L15" s="32">
        <f t="shared" si="6"/>
        <v>82</v>
      </c>
      <c r="M15" s="62" t="s">
        <v>33</v>
      </c>
      <c r="N15" s="57">
        <f t="shared" si="0"/>
        <v>59.4523170731707</v>
      </c>
      <c r="O15" s="57">
        <f t="shared" si="1"/>
        <v>0</v>
      </c>
      <c r="P15" s="57">
        <f t="shared" si="2"/>
        <v>12.5243902439024</v>
      </c>
      <c r="Q15" s="57">
        <f t="shared" si="3"/>
        <v>71.9767073170732</v>
      </c>
      <c r="R15" s="58">
        <v>79</v>
      </c>
      <c r="S15" s="59"/>
    </row>
    <row r="16" ht="78" spans="1:62">
      <c r="A16" s="48" t="s">
        <v>54</v>
      </c>
      <c r="B16" s="63" t="s">
        <v>55</v>
      </c>
      <c r="C16" s="64" t="s">
        <v>56</v>
      </c>
      <c r="D16" s="51" t="s">
        <v>22</v>
      </c>
      <c r="E16" s="64" t="s">
        <v>53</v>
      </c>
      <c r="F16" s="53" t="s">
        <v>24</v>
      </c>
      <c r="G16" s="54">
        <v>67.32</v>
      </c>
      <c r="H16" s="54"/>
      <c r="I16" s="55">
        <v>13</v>
      </c>
      <c r="J16" s="54">
        <f t="shared" si="4"/>
        <v>80.32</v>
      </c>
      <c r="K16" s="54">
        <f t="shared" si="5"/>
        <v>8.032</v>
      </c>
      <c r="L16" s="32">
        <f t="shared" si="6"/>
        <v>88</v>
      </c>
      <c r="M16" s="62" t="s">
        <v>33</v>
      </c>
      <c r="N16" s="57">
        <f t="shared" si="0"/>
        <v>62.73</v>
      </c>
      <c r="O16" s="57">
        <f t="shared" si="1"/>
        <v>0</v>
      </c>
      <c r="P16" s="57">
        <f t="shared" si="2"/>
        <v>12.1136363636364</v>
      </c>
      <c r="Q16" s="57">
        <f t="shared" si="3"/>
        <v>74.8436363636363</v>
      </c>
      <c r="R16" s="58">
        <v>82</v>
      </c>
      <c r="S16" s="59"/>
    </row>
    <row r="17" ht="91" spans="1:19">
      <c r="A17" s="48" t="s">
        <v>57</v>
      </c>
      <c r="B17" s="63" t="s">
        <v>58</v>
      </c>
      <c r="C17" s="64" t="s">
        <v>59</v>
      </c>
      <c r="D17" s="51" t="s">
        <v>22</v>
      </c>
      <c r="E17" s="64" t="s">
        <v>53</v>
      </c>
      <c r="F17" s="53" t="s">
        <v>24</v>
      </c>
      <c r="G17" s="54">
        <v>71.06</v>
      </c>
      <c r="H17" s="54"/>
      <c r="I17" s="55">
        <v>13</v>
      </c>
      <c r="J17" s="54">
        <f t="shared" si="4"/>
        <v>84.06</v>
      </c>
      <c r="K17" s="54">
        <f t="shared" si="5"/>
        <v>8.406</v>
      </c>
      <c r="L17" s="32">
        <f t="shared" si="6"/>
        <v>92</v>
      </c>
      <c r="M17" s="62" t="s">
        <v>33</v>
      </c>
      <c r="N17" s="57">
        <f t="shared" si="0"/>
        <v>66.4256521739131</v>
      </c>
      <c r="O17" s="57">
        <f t="shared" si="1"/>
        <v>0</v>
      </c>
      <c r="P17" s="57">
        <f t="shared" si="2"/>
        <v>12.1521739130435</v>
      </c>
      <c r="Q17" s="57">
        <f t="shared" si="3"/>
        <v>78.5778260869565</v>
      </c>
      <c r="R17" s="58">
        <v>86</v>
      </c>
      <c r="S17" s="59"/>
    </row>
    <row r="18" ht="29" spans="1:19">
      <c r="A18" s="48" t="s">
        <v>60</v>
      </c>
      <c r="B18" s="63" t="s">
        <v>61</v>
      </c>
      <c r="C18" s="64" t="s">
        <v>62</v>
      </c>
      <c r="D18" s="65" t="s">
        <v>63</v>
      </c>
      <c r="E18" s="64" t="s">
        <v>64</v>
      </c>
      <c r="F18" s="53" t="s">
        <v>47</v>
      </c>
      <c r="G18" s="54">
        <v>11.713</v>
      </c>
      <c r="H18" s="54">
        <v>15.75</v>
      </c>
      <c r="I18" s="55">
        <v>1</v>
      </c>
      <c r="J18" s="54">
        <f t="shared" si="4"/>
        <v>28.463</v>
      </c>
      <c r="K18" s="54">
        <f t="shared" si="5"/>
        <v>2.8463</v>
      </c>
      <c r="L18" s="32">
        <f t="shared" si="6"/>
        <v>31</v>
      </c>
      <c r="M18" s="66"/>
      <c r="N18" s="57">
        <f t="shared" si="0"/>
        <v>10.2016451612903</v>
      </c>
      <c r="O18" s="57">
        <f t="shared" si="1"/>
        <v>13.7177419354839</v>
      </c>
      <c r="P18" s="57">
        <f t="shared" si="2"/>
        <v>0.870967741935484</v>
      </c>
      <c r="Q18" s="57">
        <f t="shared" si="3"/>
        <v>24.7903548387097</v>
      </c>
      <c r="R18" s="58">
        <v>27</v>
      </c>
      <c r="S18" s="59"/>
    </row>
    <row r="19" ht="43.5" spans="1:19">
      <c r="A19" s="48" t="s">
        <v>65</v>
      </c>
      <c r="B19" s="63" t="s">
        <v>66</v>
      </c>
      <c r="C19" s="64" t="s">
        <v>67</v>
      </c>
      <c r="D19" s="51" t="s">
        <v>22</v>
      </c>
      <c r="E19" s="64" t="s">
        <v>68</v>
      </c>
      <c r="F19" s="53" t="s">
        <v>24</v>
      </c>
      <c r="G19" s="54">
        <v>5.882</v>
      </c>
      <c r="H19" s="54"/>
      <c r="I19" s="55">
        <v>1</v>
      </c>
      <c r="J19" s="54">
        <f t="shared" si="4"/>
        <v>6.882</v>
      </c>
      <c r="K19" s="54">
        <f t="shared" si="5"/>
        <v>0.6882</v>
      </c>
      <c r="L19" s="32">
        <f t="shared" si="6"/>
        <v>8</v>
      </c>
      <c r="M19" s="66"/>
      <c r="N19" s="57">
        <f t="shared" si="0"/>
        <v>4.4115</v>
      </c>
      <c r="O19" s="57">
        <f t="shared" si="1"/>
        <v>0</v>
      </c>
      <c r="P19" s="57">
        <f t="shared" si="2"/>
        <v>0.75</v>
      </c>
      <c r="Q19" s="57">
        <f t="shared" si="3"/>
        <v>5.1615</v>
      </c>
      <c r="R19" s="58">
        <v>6</v>
      </c>
      <c r="S19" s="59"/>
    </row>
    <row r="20" ht="39" spans="1:19">
      <c r="A20" s="48" t="s">
        <v>69</v>
      </c>
      <c r="B20" s="63" t="s">
        <v>70</v>
      </c>
      <c r="C20" s="64" t="s">
        <v>71</v>
      </c>
      <c r="D20" s="51" t="s">
        <v>22</v>
      </c>
      <c r="E20" s="64" t="s">
        <v>72</v>
      </c>
      <c r="F20" s="53" t="s">
        <v>24</v>
      </c>
      <c r="G20" s="54">
        <v>25.0189</v>
      </c>
      <c r="H20" s="54"/>
      <c r="I20" s="55">
        <v>5</v>
      </c>
      <c r="J20" s="54">
        <f t="shared" si="4"/>
        <v>30.0189</v>
      </c>
      <c r="K20" s="54">
        <f t="shared" si="5"/>
        <v>3.00189</v>
      </c>
      <c r="L20" s="32">
        <f t="shared" si="6"/>
        <v>33</v>
      </c>
      <c r="M20" s="67"/>
      <c r="N20" s="57">
        <f t="shared" si="0"/>
        <v>13.6466727272727</v>
      </c>
      <c r="O20" s="57">
        <f t="shared" si="1"/>
        <v>0</v>
      </c>
      <c r="P20" s="57">
        <f t="shared" si="2"/>
        <v>2.72727272727273</v>
      </c>
      <c r="Q20" s="57">
        <f t="shared" si="3"/>
        <v>16.3739454545455</v>
      </c>
      <c r="R20" s="58">
        <v>18</v>
      </c>
      <c r="S20" s="59"/>
    </row>
    <row r="21" ht="43.5" spans="1:19">
      <c r="A21" s="48" t="s">
        <v>73</v>
      </c>
      <c r="B21" s="63" t="s">
        <v>74</v>
      </c>
      <c r="C21" s="68" t="s">
        <v>75</v>
      </c>
      <c r="D21" s="51" t="s">
        <v>22</v>
      </c>
      <c r="E21" s="64" t="s">
        <v>76</v>
      </c>
      <c r="F21" s="53" t="s">
        <v>24</v>
      </c>
      <c r="G21" s="54">
        <v>26.528</v>
      </c>
      <c r="H21" s="54"/>
      <c r="I21" s="55">
        <v>26.9597315436242</v>
      </c>
      <c r="J21" s="54">
        <f t="shared" si="4"/>
        <v>53.4877315436242</v>
      </c>
      <c r="K21" s="54">
        <f t="shared" si="5"/>
        <v>5.34877315436242</v>
      </c>
      <c r="L21" s="32">
        <f t="shared" si="6"/>
        <v>59</v>
      </c>
      <c r="M21" s="67"/>
      <c r="N21" s="57">
        <f t="shared" si="0"/>
        <v>23.3806101694915</v>
      </c>
      <c r="O21" s="57">
        <f t="shared" si="1"/>
        <v>0</v>
      </c>
      <c r="P21" s="57">
        <f t="shared" si="2"/>
        <v>23.761119326584</v>
      </c>
      <c r="Q21" s="57">
        <f t="shared" si="3"/>
        <v>47.1417294960756</v>
      </c>
      <c r="R21" s="58">
        <v>52</v>
      </c>
      <c r="S21" s="59"/>
    </row>
    <row r="22" ht="43.5" spans="1:19">
      <c r="A22" s="48" t="s">
        <v>77</v>
      </c>
      <c r="B22" s="63" t="s">
        <v>78</v>
      </c>
      <c r="C22" s="68" t="s">
        <v>75</v>
      </c>
      <c r="D22" s="51" t="s">
        <v>22</v>
      </c>
      <c r="E22" s="64" t="s">
        <v>76</v>
      </c>
      <c r="F22" s="53" t="s">
        <v>24</v>
      </c>
      <c r="G22" s="54">
        <v>29.12</v>
      </c>
      <c r="H22" s="54"/>
      <c r="I22" s="55">
        <v>26.96</v>
      </c>
      <c r="J22" s="54">
        <f t="shared" si="4"/>
        <v>56.08</v>
      </c>
      <c r="K22" s="54">
        <f t="shared" si="5"/>
        <v>5.608</v>
      </c>
      <c r="L22" s="32">
        <f t="shared" si="6"/>
        <v>62</v>
      </c>
      <c r="M22" s="67"/>
      <c r="N22" s="57">
        <f t="shared" si="0"/>
        <v>25.8322580645161</v>
      </c>
      <c r="O22" s="57">
        <f t="shared" si="1"/>
        <v>0</v>
      </c>
      <c r="P22" s="57">
        <f t="shared" si="2"/>
        <v>23.9161290322581</v>
      </c>
      <c r="Q22" s="57">
        <f t="shared" si="3"/>
        <v>49.7483870967742</v>
      </c>
      <c r="R22" s="58">
        <v>55</v>
      </c>
      <c r="S22" s="59"/>
    </row>
    <row r="23" ht="43.5" spans="1:19">
      <c r="A23" s="48" t="s">
        <v>79</v>
      </c>
      <c r="B23" s="63" t="s">
        <v>80</v>
      </c>
      <c r="C23" s="68" t="s">
        <v>75</v>
      </c>
      <c r="D23" s="51" t="s">
        <v>22</v>
      </c>
      <c r="E23" s="64" t="s">
        <v>76</v>
      </c>
      <c r="F23" s="53" t="s">
        <v>24</v>
      </c>
      <c r="G23" s="54">
        <v>34.88</v>
      </c>
      <c r="H23" s="54"/>
      <c r="I23" s="55">
        <v>26.96</v>
      </c>
      <c r="J23" s="54">
        <f t="shared" si="4"/>
        <v>61.84</v>
      </c>
      <c r="K23" s="54">
        <f t="shared" si="5"/>
        <v>6.184</v>
      </c>
      <c r="L23" s="32">
        <f t="shared" si="6"/>
        <v>68</v>
      </c>
      <c r="M23" s="67"/>
      <c r="N23" s="57">
        <f t="shared" si="0"/>
        <v>29.2376470588235</v>
      </c>
      <c r="O23" s="57">
        <f t="shared" si="1"/>
        <v>0</v>
      </c>
      <c r="P23" s="57">
        <f t="shared" si="2"/>
        <v>22.5988235294118</v>
      </c>
      <c r="Q23" s="57">
        <f t="shared" si="3"/>
        <v>51.8364705882353</v>
      </c>
      <c r="R23" s="58">
        <v>57</v>
      </c>
      <c r="S23" s="59"/>
    </row>
    <row r="24" ht="29" spans="1:19">
      <c r="A24" s="48" t="s">
        <v>81</v>
      </c>
      <c r="B24" s="63" t="s">
        <v>82</v>
      </c>
      <c r="C24" s="63" t="s">
        <v>83</v>
      </c>
      <c r="D24" s="51" t="s">
        <v>22</v>
      </c>
      <c r="E24" s="64" t="s">
        <v>84</v>
      </c>
      <c r="F24" s="53" t="s">
        <v>24</v>
      </c>
      <c r="G24" s="54">
        <v>15.296</v>
      </c>
      <c r="H24" s="54"/>
      <c r="I24" s="55">
        <v>5</v>
      </c>
      <c r="J24" s="54">
        <f t="shared" si="4"/>
        <v>20.296</v>
      </c>
      <c r="K24" s="54">
        <f t="shared" si="5"/>
        <v>2.0296</v>
      </c>
      <c r="L24" s="32">
        <f t="shared" si="6"/>
        <v>22</v>
      </c>
      <c r="M24" s="66"/>
      <c r="N24" s="57">
        <f t="shared" si="0"/>
        <v>13.2101818181818</v>
      </c>
      <c r="O24" s="57">
        <f t="shared" si="1"/>
        <v>0</v>
      </c>
      <c r="P24" s="57">
        <f t="shared" si="2"/>
        <v>4.31818181818182</v>
      </c>
      <c r="Q24" s="57">
        <f t="shared" si="3"/>
        <v>17.5283636363636</v>
      </c>
      <c r="R24" s="58">
        <v>19</v>
      </c>
      <c r="S24" s="59"/>
    </row>
    <row r="25" ht="72.5" spans="1:19">
      <c r="A25" s="48" t="s">
        <v>85</v>
      </c>
      <c r="B25" s="63" t="s">
        <v>86</v>
      </c>
      <c r="C25" s="63" t="s">
        <v>87</v>
      </c>
      <c r="D25" s="50" t="s">
        <v>88</v>
      </c>
      <c r="E25" s="63" t="s">
        <v>89</v>
      </c>
      <c r="F25" s="69" t="s">
        <v>24</v>
      </c>
      <c r="G25" s="54">
        <v>8.415</v>
      </c>
      <c r="H25" s="54"/>
      <c r="I25" s="55">
        <v>0.8</v>
      </c>
      <c r="J25" s="54">
        <f t="shared" si="4"/>
        <v>9.215</v>
      </c>
      <c r="K25" s="54">
        <f t="shared" si="5"/>
        <v>0.9215</v>
      </c>
      <c r="L25" s="32">
        <f t="shared" si="6"/>
        <v>10</v>
      </c>
      <c r="M25" s="66"/>
      <c r="N25" s="57">
        <f t="shared" si="0"/>
        <v>6.732</v>
      </c>
      <c r="O25" s="57">
        <f t="shared" si="1"/>
        <v>0</v>
      </c>
      <c r="P25" s="57">
        <f t="shared" si="2"/>
        <v>0.64</v>
      </c>
      <c r="Q25" s="57">
        <f t="shared" si="3"/>
        <v>7.372</v>
      </c>
      <c r="R25" s="58">
        <v>8</v>
      </c>
      <c r="S25" s="59"/>
    </row>
    <row r="26" ht="72.5" spans="1:19">
      <c r="A26" s="48" t="s">
        <v>90</v>
      </c>
      <c r="B26" s="63" t="s">
        <v>91</v>
      </c>
      <c r="C26" s="63" t="s">
        <v>92</v>
      </c>
      <c r="D26" s="50" t="s">
        <v>88</v>
      </c>
      <c r="E26" s="70" t="s">
        <v>23</v>
      </c>
      <c r="F26" s="69" t="s">
        <v>24</v>
      </c>
      <c r="G26" s="54">
        <v>14.399</v>
      </c>
      <c r="H26" s="54"/>
      <c r="I26" s="55">
        <v>5.761429872</v>
      </c>
      <c r="J26" s="54">
        <f t="shared" si="4"/>
        <v>20.160429872</v>
      </c>
      <c r="K26" s="54">
        <f t="shared" si="5"/>
        <v>2.0160429872</v>
      </c>
      <c r="L26" s="32">
        <f t="shared" si="6"/>
        <v>22</v>
      </c>
      <c r="M26" s="66"/>
      <c r="N26" s="57">
        <f t="shared" si="0"/>
        <v>8.5085</v>
      </c>
      <c r="O26" s="57">
        <f t="shared" si="1"/>
        <v>0</v>
      </c>
      <c r="P26" s="57">
        <f t="shared" si="2"/>
        <v>3.404481288</v>
      </c>
      <c r="Q26" s="57">
        <f t="shared" si="3"/>
        <v>11.912981288</v>
      </c>
      <c r="R26" s="58">
        <v>13</v>
      </c>
      <c r="S26" s="59"/>
    </row>
    <row r="27" ht="26" spans="1:19">
      <c r="A27" s="48" t="s">
        <v>93</v>
      </c>
      <c r="B27" s="70" t="s">
        <v>94</v>
      </c>
      <c r="C27" s="71" t="s">
        <v>95</v>
      </c>
      <c r="D27" s="65" t="s">
        <v>63</v>
      </c>
      <c r="E27" s="64" t="s">
        <v>96</v>
      </c>
      <c r="F27" s="53" t="s">
        <v>47</v>
      </c>
      <c r="G27" s="54">
        <v>14.025</v>
      </c>
      <c r="H27" s="54"/>
      <c r="I27" s="55">
        <v>1.2936</v>
      </c>
      <c r="J27" s="54">
        <f t="shared" si="4"/>
        <v>15.3186</v>
      </c>
      <c r="K27" s="54">
        <f t="shared" si="5"/>
        <v>1.53186</v>
      </c>
      <c r="L27" s="32">
        <f t="shared" si="6"/>
        <v>17</v>
      </c>
      <c r="M27" s="72"/>
      <c r="N27" s="57">
        <f t="shared" si="0"/>
        <v>10.725</v>
      </c>
      <c r="O27" s="57">
        <f t="shared" si="1"/>
        <v>0</v>
      </c>
      <c r="P27" s="57">
        <f t="shared" si="2"/>
        <v>0.989223529411765</v>
      </c>
      <c r="Q27" s="57">
        <f t="shared" si="3"/>
        <v>11.7142235294118</v>
      </c>
      <c r="R27" s="58">
        <v>13</v>
      </c>
      <c r="S27" s="59"/>
    </row>
    <row r="28" ht="78" spans="1:19">
      <c r="A28" s="48" t="s">
        <v>97</v>
      </c>
      <c r="B28" s="63" t="s">
        <v>98</v>
      </c>
      <c r="C28" s="64" t="s">
        <v>99</v>
      </c>
      <c r="D28" s="51" t="s">
        <v>22</v>
      </c>
      <c r="E28" s="64" t="s">
        <v>100</v>
      </c>
      <c r="F28" s="53" t="s">
        <v>24</v>
      </c>
      <c r="G28" s="54">
        <f>(60/1.25/1.0341)</f>
        <v>46.4171743545112</v>
      </c>
      <c r="H28" s="54"/>
      <c r="I28" s="54"/>
      <c r="J28" s="54">
        <f t="shared" si="4"/>
        <v>46.4171743545112</v>
      </c>
      <c r="K28" s="54">
        <f t="shared" si="5"/>
        <v>4.64171743545112</v>
      </c>
      <c r="L28" s="32">
        <f t="shared" si="6"/>
        <v>51</v>
      </c>
      <c r="M28" s="73" t="s">
        <v>101</v>
      </c>
      <c r="N28" s="57">
        <f t="shared" si="0"/>
        <v>41.8664709864219</v>
      </c>
      <c r="O28" s="57">
        <f t="shared" si="1"/>
        <v>0</v>
      </c>
      <c r="P28" s="57">
        <f t="shared" si="2"/>
        <v>0</v>
      </c>
      <c r="Q28" s="57">
        <f t="shared" si="3"/>
        <v>41.8664709864219</v>
      </c>
      <c r="R28" s="58">
        <v>46</v>
      </c>
      <c r="S28" s="59" t="s">
        <v>102</v>
      </c>
    </row>
    <row r="29" ht="65" spans="1:19">
      <c r="A29" s="48" t="s">
        <v>103</v>
      </c>
      <c r="B29" s="63" t="s">
        <v>104</v>
      </c>
      <c r="C29" s="64" t="s">
        <v>105</v>
      </c>
      <c r="D29" s="51" t="s">
        <v>63</v>
      </c>
      <c r="E29" s="64" t="s">
        <v>53</v>
      </c>
      <c r="F29" s="53" t="s">
        <v>47</v>
      </c>
      <c r="G29" s="55">
        <v>9.911</v>
      </c>
      <c r="H29" s="54"/>
      <c r="I29" s="74">
        <v>2</v>
      </c>
      <c r="J29" s="55">
        <f t="shared" si="4"/>
        <v>11.911</v>
      </c>
      <c r="K29" s="54">
        <f t="shared" si="5"/>
        <v>1.1911</v>
      </c>
      <c r="L29" s="32">
        <f t="shared" si="6"/>
        <v>13</v>
      </c>
      <c r="M29" s="62" t="s">
        <v>106</v>
      </c>
      <c r="N29" s="57">
        <f t="shared" si="0"/>
        <v>7.62384615384615</v>
      </c>
      <c r="O29" s="57">
        <f t="shared" si="1"/>
        <v>0</v>
      </c>
      <c r="P29" s="57">
        <f t="shared" si="2"/>
        <v>1.53846153846154</v>
      </c>
      <c r="Q29" s="57">
        <f t="shared" si="3"/>
        <v>9.16230769230769</v>
      </c>
      <c r="R29" s="58">
        <v>10</v>
      </c>
      <c r="S29" s="59" t="s">
        <v>106</v>
      </c>
    </row>
    <row r="30" ht="159.5" spans="1:19">
      <c r="A30" s="48" t="s">
        <v>107</v>
      </c>
      <c r="B30" s="63" t="s">
        <v>108</v>
      </c>
      <c r="C30" s="64" t="s">
        <v>109</v>
      </c>
      <c r="D30" s="51" t="s">
        <v>63</v>
      </c>
      <c r="E30" s="64" t="s">
        <v>53</v>
      </c>
      <c r="F30" s="53" t="s">
        <v>47</v>
      </c>
      <c r="G30" s="55">
        <v>19.074</v>
      </c>
      <c r="H30" s="54"/>
      <c r="I30" s="74">
        <v>3.01563449023861</v>
      </c>
      <c r="J30" s="55">
        <f t="shared" si="4"/>
        <v>22.0896344902386</v>
      </c>
      <c r="K30" s="54">
        <f t="shared" si="5"/>
        <v>2.20896344902386</v>
      </c>
      <c r="L30" s="32">
        <f t="shared" si="6"/>
        <v>24</v>
      </c>
      <c r="M30" s="62" t="s">
        <v>110</v>
      </c>
      <c r="N30" s="57">
        <f t="shared" si="0"/>
        <v>15.895</v>
      </c>
      <c r="O30" s="57">
        <f t="shared" si="1"/>
        <v>0</v>
      </c>
      <c r="P30" s="57">
        <f t="shared" si="2"/>
        <v>2.51302874186551</v>
      </c>
      <c r="Q30" s="57">
        <f t="shared" si="3"/>
        <v>18.4080287418655</v>
      </c>
      <c r="R30" s="58">
        <v>20</v>
      </c>
      <c r="S30" s="59" t="s">
        <v>110</v>
      </c>
    </row>
    <row r="31" ht="116" spans="1:19">
      <c r="A31" s="48" t="s">
        <v>111</v>
      </c>
      <c r="B31" s="63" t="s">
        <v>112</v>
      </c>
      <c r="C31" s="64" t="s">
        <v>113</v>
      </c>
      <c r="D31" s="51" t="s">
        <v>63</v>
      </c>
      <c r="E31" s="64" t="s">
        <v>53</v>
      </c>
      <c r="F31" s="53" t="s">
        <v>47</v>
      </c>
      <c r="G31" s="55">
        <v>11.968</v>
      </c>
      <c r="H31" s="54"/>
      <c r="I31" s="74">
        <v>2</v>
      </c>
      <c r="J31" s="55">
        <f t="shared" si="4"/>
        <v>13.968</v>
      </c>
      <c r="K31" s="54">
        <f t="shared" si="5"/>
        <v>1.3968</v>
      </c>
      <c r="L31" s="32">
        <f t="shared" si="6"/>
        <v>15</v>
      </c>
      <c r="M31" s="62" t="s">
        <v>106</v>
      </c>
      <c r="N31" s="57">
        <f t="shared" si="0"/>
        <v>11.3376853333333</v>
      </c>
      <c r="O31" s="57">
        <f t="shared" si="1"/>
        <v>0</v>
      </c>
      <c r="P31" s="57">
        <f t="shared" si="2"/>
        <v>1.89466666666667</v>
      </c>
      <c r="Q31" s="57">
        <f t="shared" si="3"/>
        <v>13.232352</v>
      </c>
      <c r="R31" s="58">
        <v>14.21</v>
      </c>
      <c r="S31" s="59" t="s">
        <v>106</v>
      </c>
    </row>
    <row r="32" ht="159.5" spans="1:19">
      <c r="A32" s="48" t="s">
        <v>114</v>
      </c>
      <c r="B32" s="63" t="s">
        <v>115</v>
      </c>
      <c r="C32" s="64" t="s">
        <v>109</v>
      </c>
      <c r="D32" s="51" t="s">
        <v>63</v>
      </c>
      <c r="E32" s="64" t="s">
        <v>53</v>
      </c>
      <c r="F32" s="53" t="s">
        <v>47</v>
      </c>
      <c r="G32" s="55">
        <v>20.94</v>
      </c>
      <c r="H32" s="54"/>
      <c r="I32" s="74">
        <v>3.5</v>
      </c>
      <c r="J32" s="55">
        <f t="shared" si="4"/>
        <v>24.44</v>
      </c>
      <c r="K32" s="54">
        <f t="shared" si="5"/>
        <v>2.444</v>
      </c>
      <c r="L32" s="32">
        <f t="shared" si="6"/>
        <v>27</v>
      </c>
      <c r="M32" s="62" t="s">
        <v>110</v>
      </c>
      <c r="N32" s="57">
        <f t="shared" si="0"/>
        <v>15.5111111111111</v>
      </c>
      <c r="O32" s="57">
        <f t="shared" si="1"/>
        <v>0</v>
      </c>
      <c r="P32" s="57">
        <f t="shared" si="2"/>
        <v>2.59259259259259</v>
      </c>
      <c r="Q32" s="57">
        <f t="shared" si="3"/>
        <v>18.1037037037037</v>
      </c>
      <c r="R32" s="58">
        <v>20</v>
      </c>
      <c r="S32" s="59" t="s">
        <v>110</v>
      </c>
    </row>
    <row r="33" ht="39" spans="1:19">
      <c r="A33" s="48" t="s">
        <v>116</v>
      </c>
      <c r="B33" s="75" t="s">
        <v>117</v>
      </c>
      <c r="C33" s="64" t="s">
        <v>118</v>
      </c>
      <c r="D33" s="76" t="s">
        <v>119</v>
      </c>
      <c r="E33" s="64" t="s">
        <v>120</v>
      </c>
      <c r="F33" s="77" t="s">
        <v>24</v>
      </c>
      <c r="G33" s="55">
        <v>0.748</v>
      </c>
      <c r="H33" s="78"/>
      <c r="I33" s="55">
        <v>3.71337394836089</v>
      </c>
      <c r="J33" s="55">
        <f t="shared" si="4"/>
        <v>4.46137394836089</v>
      </c>
      <c r="K33" s="54">
        <f t="shared" si="5"/>
        <v>0.446137394836089</v>
      </c>
      <c r="L33" s="32">
        <f t="shared" si="6"/>
        <v>5</v>
      </c>
      <c r="M33" s="56"/>
      <c r="N33" s="57">
        <f t="shared" si="0"/>
        <v>0.374</v>
      </c>
      <c r="O33" s="57">
        <f t="shared" si="1"/>
        <v>0</v>
      </c>
      <c r="P33" s="57">
        <f t="shared" si="2"/>
        <v>1.85668697418045</v>
      </c>
      <c r="Q33" s="57">
        <f t="shared" si="3"/>
        <v>2.23068697418045</v>
      </c>
      <c r="R33" s="58">
        <v>2.5</v>
      </c>
      <c r="S33" s="59"/>
    </row>
    <row r="34" ht="52" spans="1:19">
      <c r="A34" s="48" t="s">
        <v>121</v>
      </c>
      <c r="B34" s="75" t="s">
        <v>122</v>
      </c>
      <c r="C34" s="64" t="s">
        <v>38</v>
      </c>
      <c r="D34" s="76" t="s">
        <v>123</v>
      </c>
      <c r="E34" s="64" t="s">
        <v>96</v>
      </c>
      <c r="F34" s="77" t="s">
        <v>24</v>
      </c>
      <c r="G34" s="55">
        <v>52.36</v>
      </c>
      <c r="H34" s="78"/>
      <c r="I34" s="55">
        <v>13</v>
      </c>
      <c r="J34" s="55">
        <f t="shared" si="4"/>
        <v>65.36</v>
      </c>
      <c r="K34" s="54">
        <f t="shared" si="5"/>
        <v>6.536</v>
      </c>
      <c r="L34" s="32">
        <f t="shared" si="6"/>
        <v>72</v>
      </c>
      <c r="M34" s="56"/>
      <c r="N34" s="57">
        <f t="shared" si="0"/>
        <v>45.815</v>
      </c>
      <c r="O34" s="57">
        <f t="shared" si="1"/>
        <v>0</v>
      </c>
      <c r="P34" s="57">
        <f t="shared" si="2"/>
        <v>11.375</v>
      </c>
      <c r="Q34" s="57">
        <f t="shared" si="3"/>
        <v>57.19</v>
      </c>
      <c r="R34" s="58">
        <v>63</v>
      </c>
      <c r="S34" s="59"/>
    </row>
    <row r="35" ht="29" spans="1:19">
      <c r="A35" s="48" t="s">
        <v>124</v>
      </c>
      <c r="B35" s="75" t="s">
        <v>125</v>
      </c>
      <c r="C35" s="60" t="s">
        <v>126</v>
      </c>
      <c r="D35" s="51" t="s">
        <v>22</v>
      </c>
      <c r="E35" s="52" t="s">
        <v>127</v>
      </c>
      <c r="F35" s="77" t="s">
        <v>24</v>
      </c>
      <c r="G35" s="55">
        <v>16.55</v>
      </c>
      <c r="H35" s="55"/>
      <c r="I35" s="55">
        <v>17</v>
      </c>
      <c r="J35" s="55">
        <f t="shared" si="4"/>
        <v>33.55</v>
      </c>
      <c r="K35" s="54">
        <f t="shared" si="5"/>
        <v>3.355</v>
      </c>
      <c r="L35" s="32">
        <f t="shared" si="6"/>
        <v>37</v>
      </c>
      <c r="M35" s="62"/>
      <c r="N35" s="57">
        <f t="shared" si="0"/>
        <v>15.6554054054054</v>
      </c>
      <c r="O35" s="57">
        <f t="shared" si="1"/>
        <v>0</v>
      </c>
      <c r="P35" s="57">
        <f t="shared" si="2"/>
        <v>16.0810810810811</v>
      </c>
      <c r="Q35" s="57">
        <f t="shared" si="3"/>
        <v>31.7364864864865</v>
      </c>
      <c r="R35" s="58">
        <v>35</v>
      </c>
      <c r="S35" s="59"/>
    </row>
    <row r="36" ht="52" spans="1:19">
      <c r="A36" s="48" t="s">
        <v>128</v>
      </c>
      <c r="B36" s="75" t="s">
        <v>129</v>
      </c>
      <c r="C36" s="64" t="s">
        <v>130</v>
      </c>
      <c r="D36" s="76" t="s">
        <v>131</v>
      </c>
      <c r="E36" s="52" t="s">
        <v>132</v>
      </c>
      <c r="F36" s="77" t="s">
        <v>133</v>
      </c>
      <c r="G36" s="55">
        <v>21.6546</v>
      </c>
      <c r="H36" s="55"/>
      <c r="I36" s="55">
        <v>350</v>
      </c>
      <c r="J36" s="55">
        <f t="shared" si="4"/>
        <v>371.6546</v>
      </c>
      <c r="K36" s="54">
        <f t="shared" si="5"/>
        <v>37.16546</v>
      </c>
      <c r="L36" s="32">
        <f t="shared" si="6"/>
        <v>409</v>
      </c>
      <c r="M36" s="62"/>
      <c r="N36" s="57">
        <f t="shared" si="0"/>
        <v>20.1191882640587</v>
      </c>
      <c r="O36" s="57">
        <f t="shared" si="1"/>
        <v>0</v>
      </c>
      <c r="P36" s="57">
        <f t="shared" si="2"/>
        <v>325.18337408313</v>
      </c>
      <c r="Q36" s="57">
        <f t="shared" si="3"/>
        <v>345.302562347188</v>
      </c>
      <c r="R36" s="58">
        <v>380</v>
      </c>
      <c r="S36" s="59" t="s">
        <v>134</v>
      </c>
    </row>
    <row r="37" ht="43.5" spans="1:19">
      <c r="A37" s="48" t="s">
        <v>135</v>
      </c>
      <c r="B37" s="75" t="s">
        <v>136</v>
      </c>
      <c r="C37" s="64" t="s">
        <v>137</v>
      </c>
      <c r="D37" s="51" t="s">
        <v>63</v>
      </c>
      <c r="E37" s="64" t="s">
        <v>138</v>
      </c>
      <c r="F37" s="77" t="s">
        <v>47</v>
      </c>
      <c r="G37" s="79">
        <v>25</v>
      </c>
      <c r="H37" s="55"/>
      <c r="I37" s="55"/>
      <c r="J37" s="55">
        <f t="shared" si="4"/>
        <v>25</v>
      </c>
      <c r="K37" s="54">
        <f t="shared" si="5"/>
        <v>2.5</v>
      </c>
      <c r="L37" s="32">
        <f t="shared" si="6"/>
        <v>28</v>
      </c>
      <c r="M37" s="62" t="s">
        <v>139</v>
      </c>
      <c r="N37" s="57">
        <f t="shared" si="0"/>
        <v>21.4285714285714</v>
      </c>
      <c r="O37" s="57">
        <f t="shared" si="1"/>
        <v>0</v>
      </c>
      <c r="P37" s="57">
        <f t="shared" si="2"/>
        <v>0</v>
      </c>
      <c r="Q37" s="57">
        <f t="shared" si="3"/>
        <v>21.4285714285714</v>
      </c>
      <c r="R37" s="58">
        <v>24</v>
      </c>
      <c r="S37" s="59"/>
    </row>
    <row r="38" ht="39" spans="1:19">
      <c r="A38" s="48" t="s">
        <v>140</v>
      </c>
      <c r="B38" s="75" t="s">
        <v>141</v>
      </c>
      <c r="C38" s="64" t="s">
        <v>142</v>
      </c>
      <c r="D38" s="76" t="s">
        <v>143</v>
      </c>
      <c r="E38" s="64" t="s">
        <v>144</v>
      </c>
      <c r="F38" s="77" t="s">
        <v>145</v>
      </c>
      <c r="G38" s="79">
        <v>16.5</v>
      </c>
      <c r="H38" s="55"/>
      <c r="I38" s="55"/>
      <c r="J38" s="55">
        <f t="shared" si="4"/>
        <v>16.5</v>
      </c>
      <c r="K38" s="54">
        <f t="shared" si="5"/>
        <v>1.65</v>
      </c>
      <c r="L38" s="32">
        <f t="shared" si="6"/>
        <v>18</v>
      </c>
      <c r="M38" s="62" t="s">
        <v>139</v>
      </c>
      <c r="N38" s="57">
        <f t="shared" si="0"/>
        <v>14.6666666666667</v>
      </c>
      <c r="O38" s="57">
        <f t="shared" si="1"/>
        <v>0</v>
      </c>
      <c r="P38" s="57">
        <f t="shared" si="2"/>
        <v>0</v>
      </c>
      <c r="Q38" s="57">
        <f t="shared" si="3"/>
        <v>14.6666666666667</v>
      </c>
      <c r="R38" s="58">
        <v>16</v>
      </c>
      <c r="S38" s="59"/>
    </row>
    <row r="39" ht="78" spans="1:19">
      <c r="A39" s="48" t="s">
        <v>146</v>
      </c>
      <c r="B39" s="75" t="s">
        <v>147</v>
      </c>
      <c r="C39" s="64" t="s">
        <v>148</v>
      </c>
      <c r="D39" s="76" t="s">
        <v>149</v>
      </c>
      <c r="E39" s="64" t="s">
        <v>53</v>
      </c>
      <c r="F39" s="77" t="s">
        <v>150</v>
      </c>
      <c r="G39" s="79">
        <f>50/1.2</f>
        <v>41.6666666666667</v>
      </c>
      <c r="H39" s="55"/>
      <c r="I39" s="55"/>
      <c r="J39" s="55">
        <f t="shared" si="4"/>
        <v>41.6666666666667</v>
      </c>
      <c r="K39" s="54">
        <f t="shared" si="5"/>
        <v>4.16666666666667</v>
      </c>
      <c r="L39" s="32">
        <v>50</v>
      </c>
      <c r="M39" s="62" t="s">
        <v>151</v>
      </c>
      <c r="N39" s="57">
        <f t="shared" si="0"/>
        <v>33.3333333333334</v>
      </c>
      <c r="O39" s="57">
        <f t="shared" si="1"/>
        <v>0</v>
      </c>
      <c r="P39" s="57">
        <f t="shared" si="2"/>
        <v>0</v>
      </c>
      <c r="Q39" s="57">
        <f t="shared" si="3"/>
        <v>33.3333333333334</v>
      </c>
      <c r="R39" s="58">
        <v>40</v>
      </c>
      <c r="S39" s="59"/>
    </row>
    <row r="40" s="14" customFormat="1" ht="22.5" customHeight="1" spans="1:19">
      <c r="A40" s="80" t="s">
        <v>152</v>
      </c>
      <c r="B40" s="81"/>
      <c r="C40" s="82"/>
      <c r="D40" s="83"/>
      <c r="E40" s="83"/>
      <c r="F40" s="83"/>
      <c r="G40" s="83"/>
      <c r="H40" s="83"/>
      <c r="I40" s="83"/>
      <c r="J40" s="83"/>
      <c r="K40" s="83"/>
      <c r="L40" s="83"/>
      <c r="M40" s="84"/>
      <c r="N40" s="57"/>
      <c r="O40" s="57"/>
      <c r="P40" s="57"/>
      <c r="Q40" s="57">
        <f t="shared" si="3"/>
        <v>0</v>
      </c>
      <c r="R40" s="85"/>
      <c r="S40" s="86"/>
    </row>
    <row r="41" ht="91" spans="1:19">
      <c r="A41" s="87" t="s">
        <v>153</v>
      </c>
      <c r="B41" s="70" t="s">
        <v>154</v>
      </c>
      <c r="C41" s="70" t="s">
        <v>155</v>
      </c>
      <c r="D41" s="88" t="s">
        <v>156</v>
      </c>
      <c r="E41" s="52" t="s">
        <v>157</v>
      </c>
      <c r="F41" s="53" t="s">
        <v>24</v>
      </c>
      <c r="G41" s="55">
        <v>48</v>
      </c>
      <c r="H41" s="55">
        <v>41.839875</v>
      </c>
      <c r="I41" s="55">
        <v>1.8</v>
      </c>
      <c r="J41" s="55">
        <f t="shared" ref="J41:J50" si="7">G41+H41+I41</f>
        <v>91.639875</v>
      </c>
      <c r="K41" s="55">
        <f>J41*0.1</f>
        <v>9.1639875</v>
      </c>
      <c r="L41" s="36">
        <f t="shared" ref="L41:L50" si="8">ROUND((J41+K41),0)</f>
        <v>101</v>
      </c>
      <c r="M41" s="89" t="s">
        <v>158</v>
      </c>
      <c r="N41" s="57">
        <f t="shared" ref="N41:N50" si="9">+R41/L41*G41</f>
        <v>49.9009900990099</v>
      </c>
      <c r="O41" s="57">
        <f t="shared" ref="O41:O50" si="10">+R41/L41*H41</f>
        <v>43.4968997524753</v>
      </c>
      <c r="P41" s="57">
        <f t="shared" ref="P41:P50" si="11">+R41/L41*I41</f>
        <v>1.87128712871287</v>
      </c>
      <c r="Q41" s="57">
        <f t="shared" si="3"/>
        <v>95.269176980198</v>
      </c>
      <c r="R41" s="58">
        <v>105</v>
      </c>
      <c r="S41" s="59"/>
    </row>
    <row r="42" s="15" customFormat="1" ht="91" spans="1:19">
      <c r="A42" s="90" t="s">
        <v>159</v>
      </c>
      <c r="B42" s="91" t="s">
        <v>160</v>
      </c>
      <c r="C42" s="91" t="s">
        <v>161</v>
      </c>
      <c r="D42" s="92" t="s">
        <v>156</v>
      </c>
      <c r="E42" s="93" t="s">
        <v>157</v>
      </c>
      <c r="F42" s="94" t="s">
        <v>24</v>
      </c>
      <c r="G42" s="95">
        <v>48</v>
      </c>
      <c r="H42" s="95">
        <f>41.839875+10</f>
        <v>51.839875</v>
      </c>
      <c r="I42" s="95">
        <v>1.8</v>
      </c>
      <c r="J42" s="95">
        <f t="shared" si="7"/>
        <v>101.639875</v>
      </c>
      <c r="K42" s="55">
        <f t="shared" ref="K42:K71" si="12">J42*0.1</f>
        <v>10.1639875</v>
      </c>
      <c r="L42" s="96">
        <f t="shared" si="8"/>
        <v>112</v>
      </c>
      <c r="M42" s="97"/>
      <c r="N42" s="57">
        <f t="shared" si="9"/>
        <v>47.1428571428571</v>
      </c>
      <c r="O42" s="57">
        <f t="shared" si="10"/>
        <v>50.9141629464286</v>
      </c>
      <c r="P42" s="57">
        <f t="shared" si="11"/>
        <v>1.76785714285714</v>
      </c>
      <c r="Q42" s="57">
        <f t="shared" si="3"/>
        <v>99.8248772321429</v>
      </c>
      <c r="R42" s="58">
        <v>110</v>
      </c>
      <c r="S42" s="98"/>
    </row>
    <row r="43" s="15" customFormat="1" ht="91" spans="1:19">
      <c r="A43" s="90" t="s">
        <v>162</v>
      </c>
      <c r="B43" s="91" t="s">
        <v>163</v>
      </c>
      <c r="C43" s="91" t="s">
        <v>164</v>
      </c>
      <c r="D43" s="92" t="s">
        <v>156</v>
      </c>
      <c r="E43" s="93" t="s">
        <v>157</v>
      </c>
      <c r="F43" s="94" t="s">
        <v>24</v>
      </c>
      <c r="G43" s="95">
        <f>48+10</f>
        <v>58</v>
      </c>
      <c r="H43" s="95">
        <f>41.839875+10</f>
        <v>51.839875</v>
      </c>
      <c r="I43" s="95">
        <v>1.8</v>
      </c>
      <c r="J43" s="95">
        <f t="shared" si="7"/>
        <v>111.639875</v>
      </c>
      <c r="K43" s="55">
        <f t="shared" si="12"/>
        <v>11.1639875</v>
      </c>
      <c r="L43" s="96">
        <f t="shared" si="8"/>
        <v>123</v>
      </c>
      <c r="M43" s="97"/>
      <c r="N43" s="57">
        <f t="shared" si="9"/>
        <v>55.1707317073171</v>
      </c>
      <c r="O43" s="57">
        <f t="shared" si="10"/>
        <v>49.3111006097561</v>
      </c>
      <c r="P43" s="57">
        <f t="shared" si="11"/>
        <v>1.71219512195122</v>
      </c>
      <c r="Q43" s="57">
        <f t="shared" si="3"/>
        <v>106.194027439024</v>
      </c>
      <c r="R43" s="58">
        <v>117</v>
      </c>
      <c r="S43" s="98"/>
    </row>
    <row r="44" ht="91" spans="1:19">
      <c r="A44" s="87" t="s">
        <v>165</v>
      </c>
      <c r="B44" s="70" t="s">
        <v>166</v>
      </c>
      <c r="C44" s="70" t="s">
        <v>167</v>
      </c>
      <c r="D44" s="88" t="s">
        <v>156</v>
      </c>
      <c r="E44" s="52" t="s">
        <v>157</v>
      </c>
      <c r="F44" s="53" t="s">
        <v>24</v>
      </c>
      <c r="G44" s="55">
        <v>52</v>
      </c>
      <c r="H44" s="55">
        <v>46.48875</v>
      </c>
      <c r="I44" s="55">
        <v>2</v>
      </c>
      <c r="J44" s="55">
        <f t="shared" si="7"/>
        <v>100.48875</v>
      </c>
      <c r="K44" s="55">
        <f t="shared" si="12"/>
        <v>10.048875</v>
      </c>
      <c r="L44" s="36">
        <f t="shared" si="8"/>
        <v>111</v>
      </c>
      <c r="M44" s="89" t="s">
        <v>168</v>
      </c>
      <c r="N44" s="57">
        <f t="shared" si="9"/>
        <v>50.5945945945946</v>
      </c>
      <c r="O44" s="57">
        <f t="shared" si="10"/>
        <v>45.2322972972973</v>
      </c>
      <c r="P44" s="57">
        <f t="shared" si="11"/>
        <v>1.94594594594595</v>
      </c>
      <c r="Q44" s="57">
        <f t="shared" si="3"/>
        <v>97.7728378378379</v>
      </c>
      <c r="R44" s="58">
        <v>108</v>
      </c>
      <c r="S44" s="59"/>
    </row>
    <row r="45" ht="78" spans="1:19">
      <c r="A45" s="87" t="s">
        <v>169</v>
      </c>
      <c r="B45" s="70" t="s">
        <v>170</v>
      </c>
      <c r="C45" s="71" t="s">
        <v>171</v>
      </c>
      <c r="D45" s="88" t="s">
        <v>156</v>
      </c>
      <c r="E45" s="52" t="s">
        <v>172</v>
      </c>
      <c r="F45" s="53" t="s">
        <v>24</v>
      </c>
      <c r="G45" s="55">
        <v>15.2</v>
      </c>
      <c r="H45" s="55">
        <v>40.792248</v>
      </c>
      <c r="I45" s="55">
        <v>1.5</v>
      </c>
      <c r="J45" s="55">
        <f t="shared" si="7"/>
        <v>57.492248</v>
      </c>
      <c r="K45" s="55">
        <f t="shared" si="12"/>
        <v>5.7492248</v>
      </c>
      <c r="L45" s="36">
        <f t="shared" si="8"/>
        <v>63</v>
      </c>
      <c r="M45" s="99"/>
      <c r="N45" s="57">
        <f t="shared" si="9"/>
        <v>13.2698412698413</v>
      </c>
      <c r="O45" s="57">
        <f t="shared" si="10"/>
        <v>35.61228</v>
      </c>
      <c r="P45" s="57">
        <f t="shared" si="11"/>
        <v>1.30952380952381</v>
      </c>
      <c r="Q45" s="57">
        <f t="shared" si="3"/>
        <v>50.1916450793651</v>
      </c>
      <c r="R45" s="58">
        <v>55</v>
      </c>
      <c r="S45" s="59"/>
    </row>
    <row r="46" ht="78" spans="1:19">
      <c r="A46" s="87" t="s">
        <v>173</v>
      </c>
      <c r="B46" s="70" t="s">
        <v>174</v>
      </c>
      <c r="C46" s="70" t="s">
        <v>175</v>
      </c>
      <c r="D46" s="88" t="s">
        <v>156</v>
      </c>
      <c r="E46" s="52" t="s">
        <v>176</v>
      </c>
      <c r="F46" s="53" t="s">
        <v>24</v>
      </c>
      <c r="G46" s="55">
        <v>15.2</v>
      </c>
      <c r="H46" s="55">
        <v>80.85</v>
      </c>
      <c r="I46" s="55">
        <v>5</v>
      </c>
      <c r="J46" s="55">
        <f t="shared" si="7"/>
        <v>101.05</v>
      </c>
      <c r="K46" s="55">
        <f t="shared" si="12"/>
        <v>10.105</v>
      </c>
      <c r="L46" s="36">
        <f t="shared" si="8"/>
        <v>111</v>
      </c>
      <c r="M46" s="89" t="s">
        <v>177</v>
      </c>
      <c r="N46" s="57">
        <f t="shared" si="9"/>
        <v>13.009009009009</v>
      </c>
      <c r="O46" s="57">
        <f t="shared" si="10"/>
        <v>69.1959459459459</v>
      </c>
      <c r="P46" s="57">
        <f t="shared" si="11"/>
        <v>4.27927927927928</v>
      </c>
      <c r="Q46" s="57">
        <f t="shared" si="3"/>
        <v>86.4842342342342</v>
      </c>
      <c r="R46" s="58">
        <v>95</v>
      </c>
      <c r="S46" s="59"/>
    </row>
    <row r="47" ht="78" spans="1:19">
      <c r="A47" s="87" t="s">
        <v>178</v>
      </c>
      <c r="B47" s="70" t="s">
        <v>179</v>
      </c>
      <c r="C47" s="70" t="s">
        <v>180</v>
      </c>
      <c r="D47" s="88" t="s">
        <v>156</v>
      </c>
      <c r="E47" s="52" t="s">
        <v>181</v>
      </c>
      <c r="F47" s="53" t="s">
        <v>24</v>
      </c>
      <c r="G47" s="55">
        <v>81.28</v>
      </c>
      <c r="H47" s="55">
        <v>150.2054928</v>
      </c>
      <c r="I47" s="55">
        <v>5</v>
      </c>
      <c r="J47" s="55">
        <f t="shared" si="7"/>
        <v>236.4854928</v>
      </c>
      <c r="K47" s="55">
        <f t="shared" si="12"/>
        <v>23.64854928</v>
      </c>
      <c r="L47" s="36">
        <f t="shared" si="8"/>
        <v>260</v>
      </c>
      <c r="M47" s="99"/>
      <c r="N47" s="57">
        <f t="shared" si="9"/>
        <v>68.7753846153846</v>
      </c>
      <c r="O47" s="57">
        <f t="shared" si="10"/>
        <v>127.096955446154</v>
      </c>
      <c r="P47" s="57">
        <f t="shared" si="11"/>
        <v>4.23076923076923</v>
      </c>
      <c r="Q47" s="57">
        <f t="shared" si="3"/>
        <v>200.103109292308</v>
      </c>
      <c r="R47" s="58">
        <v>220</v>
      </c>
      <c r="S47" s="59"/>
    </row>
    <row r="48" ht="43.5" spans="1:19">
      <c r="A48" s="87" t="s">
        <v>182</v>
      </c>
      <c r="B48" s="70" t="s">
        <v>183</v>
      </c>
      <c r="C48" s="70" t="s">
        <v>184</v>
      </c>
      <c r="D48" s="88" t="s">
        <v>185</v>
      </c>
      <c r="E48" s="52" t="s">
        <v>186</v>
      </c>
      <c r="F48" s="53" t="s">
        <v>47</v>
      </c>
      <c r="G48" s="55">
        <v>4.96</v>
      </c>
      <c r="H48" s="55">
        <v>13.88625</v>
      </c>
      <c r="I48" s="55">
        <v>0.8</v>
      </c>
      <c r="J48" s="55">
        <f t="shared" si="7"/>
        <v>19.64625</v>
      </c>
      <c r="K48" s="55">
        <f t="shared" si="12"/>
        <v>1.964625</v>
      </c>
      <c r="L48" s="36">
        <f t="shared" si="8"/>
        <v>22</v>
      </c>
      <c r="M48" s="99"/>
      <c r="N48" s="57">
        <f t="shared" si="9"/>
        <v>3.83272727272727</v>
      </c>
      <c r="O48" s="57">
        <f t="shared" si="10"/>
        <v>10.7302840909091</v>
      </c>
      <c r="P48" s="57">
        <f t="shared" si="11"/>
        <v>0.618181818181818</v>
      </c>
      <c r="Q48" s="57">
        <f t="shared" si="3"/>
        <v>15.1811931818182</v>
      </c>
      <c r="R48" s="58">
        <v>17</v>
      </c>
      <c r="S48" s="59"/>
    </row>
    <row r="49" ht="43.5" spans="1:19">
      <c r="A49" s="87" t="s">
        <v>187</v>
      </c>
      <c r="B49" s="70" t="s">
        <v>188</v>
      </c>
      <c r="C49" s="70" t="s">
        <v>184</v>
      </c>
      <c r="D49" s="88" t="s">
        <v>185</v>
      </c>
      <c r="E49" s="52" t="s">
        <v>186</v>
      </c>
      <c r="F49" s="53" t="s">
        <v>47</v>
      </c>
      <c r="G49" s="55">
        <v>4.976</v>
      </c>
      <c r="H49" s="55">
        <v>10.26375</v>
      </c>
      <c r="I49" s="55">
        <v>0.8</v>
      </c>
      <c r="J49" s="55">
        <f t="shared" si="7"/>
        <v>16.03975</v>
      </c>
      <c r="K49" s="55">
        <f t="shared" si="12"/>
        <v>1.603975</v>
      </c>
      <c r="L49" s="36">
        <f t="shared" si="8"/>
        <v>18</v>
      </c>
      <c r="M49" s="99"/>
      <c r="N49" s="57">
        <f t="shared" si="9"/>
        <v>4.14666666666667</v>
      </c>
      <c r="O49" s="57">
        <f t="shared" si="10"/>
        <v>8.553125</v>
      </c>
      <c r="P49" s="57">
        <f t="shared" si="11"/>
        <v>0.666666666666667</v>
      </c>
      <c r="Q49" s="57">
        <f t="shared" si="3"/>
        <v>13.3664583333333</v>
      </c>
      <c r="R49" s="58">
        <v>15</v>
      </c>
      <c r="S49" s="59"/>
    </row>
    <row r="50" ht="43.5" spans="1:19">
      <c r="A50" s="87" t="s">
        <v>189</v>
      </c>
      <c r="B50" s="70" t="s">
        <v>190</v>
      </c>
      <c r="C50" s="70" t="s">
        <v>184</v>
      </c>
      <c r="D50" s="88" t="s">
        <v>185</v>
      </c>
      <c r="E50" s="52" t="s">
        <v>186</v>
      </c>
      <c r="F50" s="53" t="s">
        <v>47</v>
      </c>
      <c r="G50" s="55">
        <v>5.04</v>
      </c>
      <c r="H50" s="55">
        <v>7.60725</v>
      </c>
      <c r="I50" s="55">
        <v>0.8</v>
      </c>
      <c r="J50" s="55">
        <f t="shared" si="7"/>
        <v>13.44725</v>
      </c>
      <c r="K50" s="55">
        <f t="shared" si="12"/>
        <v>1.344725</v>
      </c>
      <c r="L50" s="36">
        <f t="shared" si="8"/>
        <v>15</v>
      </c>
      <c r="M50" s="99"/>
      <c r="N50" s="57">
        <f t="shared" si="9"/>
        <v>4.368</v>
      </c>
      <c r="O50" s="57">
        <f t="shared" si="10"/>
        <v>6.59295</v>
      </c>
      <c r="P50" s="57">
        <f t="shared" si="11"/>
        <v>0.693333333333333</v>
      </c>
      <c r="Q50" s="57">
        <f t="shared" si="3"/>
        <v>11.6542833333333</v>
      </c>
      <c r="R50" s="58">
        <v>13</v>
      </c>
      <c r="S50" s="59"/>
    </row>
    <row r="51" ht="58" spans="1:19">
      <c r="A51" s="87" t="s">
        <v>191</v>
      </c>
      <c r="B51" s="70" t="s">
        <v>192</v>
      </c>
      <c r="C51" s="70" t="s">
        <v>193</v>
      </c>
      <c r="D51" s="88" t="s">
        <v>185</v>
      </c>
      <c r="E51" s="52" t="s">
        <v>194</v>
      </c>
      <c r="F51" s="100" t="s">
        <v>195</v>
      </c>
      <c r="G51" s="55"/>
      <c r="H51" s="55"/>
      <c r="I51" s="55"/>
      <c r="J51" s="55"/>
      <c r="K51" s="55">
        <f t="shared" si="12"/>
        <v>0</v>
      </c>
      <c r="L51" s="101" t="s">
        <v>196</v>
      </c>
      <c r="M51" s="99"/>
      <c r="N51" s="57"/>
      <c r="O51" s="57"/>
      <c r="P51" s="57"/>
      <c r="Q51" s="57">
        <f t="shared" si="3"/>
        <v>0</v>
      </c>
      <c r="R51" s="58">
        <v>250</v>
      </c>
      <c r="S51" s="59"/>
    </row>
    <row r="52" ht="72.5" spans="1:19">
      <c r="A52" s="87" t="s">
        <v>197</v>
      </c>
      <c r="B52" s="70" t="s">
        <v>198</v>
      </c>
      <c r="C52" s="70" t="s">
        <v>199</v>
      </c>
      <c r="D52" s="88" t="s">
        <v>185</v>
      </c>
      <c r="E52" s="52" t="s">
        <v>200</v>
      </c>
      <c r="F52" s="53" t="s">
        <v>47</v>
      </c>
      <c r="G52" s="55">
        <v>29.744</v>
      </c>
      <c r="H52" s="55">
        <v>14.2264815</v>
      </c>
      <c r="I52" s="55">
        <v>2</v>
      </c>
      <c r="J52" s="55">
        <f t="shared" ref="J52:J71" si="13">G52+H52+I52</f>
        <v>45.9704815</v>
      </c>
      <c r="K52" s="55">
        <f t="shared" si="12"/>
        <v>4.59704815</v>
      </c>
      <c r="L52" s="36">
        <f t="shared" ref="L52:L71" si="14">ROUND((J52+K52),0)</f>
        <v>51</v>
      </c>
      <c r="M52" s="99"/>
      <c r="N52" s="57">
        <f t="shared" ref="N52:N71" si="15">+R52/L52*G52</f>
        <v>27.9943529411765</v>
      </c>
      <c r="O52" s="57">
        <f t="shared" ref="O52:O71" si="16">+R52/L52*H52</f>
        <v>13.3896296470588</v>
      </c>
      <c r="P52" s="57">
        <f t="shared" ref="P52:P71" si="17">+R52/L52*I52</f>
        <v>1.88235294117647</v>
      </c>
      <c r="Q52" s="57">
        <f t="shared" si="3"/>
        <v>43.2663355294118</v>
      </c>
      <c r="R52" s="58">
        <v>48</v>
      </c>
      <c r="S52" s="59"/>
    </row>
    <row r="53" ht="72.5" spans="1:19">
      <c r="A53" s="87" t="s">
        <v>201</v>
      </c>
      <c r="B53" s="70" t="s">
        <v>202</v>
      </c>
      <c r="C53" s="70" t="s">
        <v>199</v>
      </c>
      <c r="D53" s="88" t="s">
        <v>185</v>
      </c>
      <c r="E53" s="52" t="s">
        <v>203</v>
      </c>
      <c r="F53" s="53" t="s">
        <v>47</v>
      </c>
      <c r="G53" s="55">
        <v>29.744</v>
      </c>
      <c r="H53" s="55">
        <v>14.2264815</v>
      </c>
      <c r="I53" s="55">
        <v>2</v>
      </c>
      <c r="J53" s="55">
        <f t="shared" si="13"/>
        <v>45.9704815</v>
      </c>
      <c r="K53" s="55">
        <f t="shared" si="12"/>
        <v>4.59704815</v>
      </c>
      <c r="L53" s="36">
        <f t="shared" si="14"/>
        <v>51</v>
      </c>
      <c r="M53" s="99"/>
      <c r="N53" s="57">
        <f t="shared" si="15"/>
        <v>27.9943529411765</v>
      </c>
      <c r="O53" s="57">
        <f t="shared" si="16"/>
        <v>13.3896296470588</v>
      </c>
      <c r="P53" s="57">
        <f t="shared" si="17"/>
        <v>1.88235294117647</v>
      </c>
      <c r="Q53" s="57">
        <f t="shared" si="3"/>
        <v>43.2663355294118</v>
      </c>
      <c r="R53" s="58">
        <v>48</v>
      </c>
      <c r="S53" s="59"/>
    </row>
    <row r="54" ht="72.5" spans="1:19">
      <c r="A54" s="87" t="s">
        <v>204</v>
      </c>
      <c r="B54" s="70" t="s">
        <v>202</v>
      </c>
      <c r="C54" s="70" t="s">
        <v>205</v>
      </c>
      <c r="D54" s="88" t="s">
        <v>185</v>
      </c>
      <c r="E54" s="52" t="s">
        <v>203</v>
      </c>
      <c r="F54" s="53" t="s">
        <v>47</v>
      </c>
      <c r="G54" s="55">
        <v>29.744</v>
      </c>
      <c r="H54" s="55">
        <v>22.349481</v>
      </c>
      <c r="I54" s="55">
        <v>2</v>
      </c>
      <c r="J54" s="55">
        <f t="shared" si="13"/>
        <v>54.093481</v>
      </c>
      <c r="K54" s="55">
        <f t="shared" si="12"/>
        <v>5.4093481</v>
      </c>
      <c r="L54" s="36">
        <f t="shared" si="14"/>
        <v>60</v>
      </c>
      <c r="M54" s="99"/>
      <c r="N54" s="57">
        <f t="shared" si="15"/>
        <v>27.2653333333333</v>
      </c>
      <c r="O54" s="57">
        <f t="shared" si="16"/>
        <v>20.48702425</v>
      </c>
      <c r="P54" s="57">
        <f t="shared" si="17"/>
        <v>1.83333333333333</v>
      </c>
      <c r="Q54" s="57">
        <f t="shared" si="3"/>
        <v>49.5856909166667</v>
      </c>
      <c r="R54" s="58">
        <v>55</v>
      </c>
      <c r="S54" s="59"/>
    </row>
    <row r="55" ht="72.5" spans="1:19">
      <c r="A55" s="87" t="s">
        <v>206</v>
      </c>
      <c r="B55" s="70" t="s">
        <v>207</v>
      </c>
      <c r="C55" s="70" t="s">
        <v>199</v>
      </c>
      <c r="D55" s="88" t="s">
        <v>185</v>
      </c>
      <c r="E55" s="52" t="s">
        <v>203</v>
      </c>
      <c r="F55" s="53" t="s">
        <v>47</v>
      </c>
      <c r="G55" s="55">
        <v>40.832</v>
      </c>
      <c r="H55" s="55">
        <v>15.385965</v>
      </c>
      <c r="I55" s="55">
        <v>2.5</v>
      </c>
      <c r="J55" s="55">
        <f t="shared" si="13"/>
        <v>58.717965</v>
      </c>
      <c r="K55" s="55">
        <f t="shared" si="12"/>
        <v>5.8717965</v>
      </c>
      <c r="L55" s="36">
        <f t="shared" si="14"/>
        <v>65</v>
      </c>
      <c r="M55" s="99"/>
      <c r="N55" s="57">
        <f t="shared" si="15"/>
        <v>38.3192615384615</v>
      </c>
      <c r="O55" s="57">
        <f t="shared" si="16"/>
        <v>14.4391363846154</v>
      </c>
      <c r="P55" s="57">
        <f t="shared" si="17"/>
        <v>2.34615384615385</v>
      </c>
      <c r="Q55" s="57">
        <f t="shared" si="3"/>
        <v>55.1045517692308</v>
      </c>
      <c r="R55" s="58">
        <v>61</v>
      </c>
      <c r="S55" s="59"/>
    </row>
    <row r="56" ht="72.5" spans="1:19">
      <c r="A56" s="87" t="s">
        <v>208</v>
      </c>
      <c r="B56" s="70" t="s">
        <v>207</v>
      </c>
      <c r="C56" s="70" t="s">
        <v>205</v>
      </c>
      <c r="D56" s="88" t="s">
        <v>185</v>
      </c>
      <c r="E56" s="52" t="s">
        <v>203</v>
      </c>
      <c r="F56" s="53" t="s">
        <v>47</v>
      </c>
      <c r="G56" s="55">
        <v>45.232</v>
      </c>
      <c r="H56" s="55">
        <v>27.432045375</v>
      </c>
      <c r="I56" s="55">
        <v>2.5</v>
      </c>
      <c r="J56" s="55">
        <f t="shared" si="13"/>
        <v>75.164045375</v>
      </c>
      <c r="K56" s="55">
        <f t="shared" si="12"/>
        <v>7.5164045375</v>
      </c>
      <c r="L56" s="36">
        <f t="shared" si="14"/>
        <v>83</v>
      </c>
      <c r="M56" s="99"/>
      <c r="N56" s="57">
        <f t="shared" si="15"/>
        <v>43.5971084337349</v>
      </c>
      <c r="O56" s="57">
        <f t="shared" si="16"/>
        <v>26.4405256626506</v>
      </c>
      <c r="P56" s="57">
        <f t="shared" si="17"/>
        <v>2.40963855421687</v>
      </c>
      <c r="Q56" s="57">
        <f t="shared" si="3"/>
        <v>72.4472726506024</v>
      </c>
      <c r="R56" s="58">
        <v>80</v>
      </c>
      <c r="S56" s="59"/>
    </row>
    <row r="57" ht="58" spans="1:19">
      <c r="A57" s="87" t="s">
        <v>209</v>
      </c>
      <c r="B57" s="70" t="s">
        <v>210</v>
      </c>
      <c r="C57" s="70" t="s">
        <v>211</v>
      </c>
      <c r="D57" s="88" t="s">
        <v>185</v>
      </c>
      <c r="E57" s="52" t="s">
        <v>203</v>
      </c>
      <c r="F57" s="53" t="s">
        <v>47</v>
      </c>
      <c r="G57" s="55">
        <v>55.088</v>
      </c>
      <c r="H57" s="55">
        <v>17.98196925</v>
      </c>
      <c r="I57" s="55">
        <v>2.5</v>
      </c>
      <c r="J57" s="55">
        <f t="shared" si="13"/>
        <v>75.56996925</v>
      </c>
      <c r="K57" s="55">
        <f t="shared" si="12"/>
        <v>7.556996925</v>
      </c>
      <c r="L57" s="36">
        <f t="shared" si="14"/>
        <v>83</v>
      </c>
      <c r="M57" s="99"/>
      <c r="N57" s="57">
        <f t="shared" si="15"/>
        <v>53.760578313253</v>
      </c>
      <c r="O57" s="57">
        <f t="shared" si="16"/>
        <v>17.5486687861446</v>
      </c>
      <c r="P57" s="57">
        <f t="shared" si="17"/>
        <v>2.43975903614458</v>
      </c>
      <c r="Q57" s="57">
        <f t="shared" si="3"/>
        <v>73.7490061355422</v>
      </c>
      <c r="R57" s="58">
        <v>81</v>
      </c>
      <c r="S57" s="59"/>
    </row>
    <row r="58" ht="116" spans="1:19">
      <c r="A58" s="87" t="s">
        <v>212</v>
      </c>
      <c r="B58" s="70" t="s">
        <v>213</v>
      </c>
      <c r="C58" s="70" t="s">
        <v>214</v>
      </c>
      <c r="D58" s="88" t="s">
        <v>156</v>
      </c>
      <c r="E58" s="88" t="s">
        <v>215</v>
      </c>
      <c r="F58" s="53" t="s">
        <v>24</v>
      </c>
      <c r="G58" s="55">
        <v>150.08</v>
      </c>
      <c r="H58" s="55">
        <v>100.69199532</v>
      </c>
      <c r="I58" s="55">
        <v>10</v>
      </c>
      <c r="J58" s="55">
        <f t="shared" si="13"/>
        <v>260.77199532</v>
      </c>
      <c r="K58" s="55">
        <f t="shared" si="12"/>
        <v>26.077199532</v>
      </c>
      <c r="L58" s="36">
        <f t="shared" si="14"/>
        <v>287</v>
      </c>
      <c r="M58" s="89"/>
      <c r="N58" s="57">
        <f t="shared" si="15"/>
        <v>104.585365853659</v>
      </c>
      <c r="O58" s="57">
        <f t="shared" si="16"/>
        <v>70.1686378536585</v>
      </c>
      <c r="P58" s="57">
        <f t="shared" si="17"/>
        <v>6.96864111498258</v>
      </c>
      <c r="Q58" s="57">
        <f t="shared" si="3"/>
        <v>181.7226448223</v>
      </c>
      <c r="R58" s="102">
        <v>200</v>
      </c>
      <c r="S58" s="59"/>
    </row>
    <row r="59" ht="116" spans="1:19">
      <c r="A59" s="87" t="s">
        <v>216</v>
      </c>
      <c r="B59" s="70" t="s">
        <v>217</v>
      </c>
      <c r="C59" s="70" t="s">
        <v>214</v>
      </c>
      <c r="D59" s="88" t="s">
        <v>156</v>
      </c>
      <c r="E59" s="88"/>
      <c r="F59" s="53" t="s">
        <v>24</v>
      </c>
      <c r="G59" s="55">
        <v>180</v>
      </c>
      <c r="H59" s="55">
        <v>90.581843</v>
      </c>
      <c r="I59" s="55">
        <v>12</v>
      </c>
      <c r="J59" s="55">
        <f t="shared" si="13"/>
        <v>282.581843</v>
      </c>
      <c r="K59" s="55">
        <f t="shared" si="12"/>
        <v>28.2581843</v>
      </c>
      <c r="L59" s="36">
        <f t="shared" si="14"/>
        <v>311</v>
      </c>
      <c r="M59" s="89"/>
      <c r="N59" s="57">
        <f t="shared" si="15"/>
        <v>127.331189710611</v>
      </c>
      <c r="O59" s="57">
        <f t="shared" si="16"/>
        <v>64.0771879742765</v>
      </c>
      <c r="P59" s="57">
        <f t="shared" si="17"/>
        <v>8.4887459807074</v>
      </c>
      <c r="Q59" s="57">
        <f t="shared" si="3"/>
        <v>199.897123665595</v>
      </c>
      <c r="R59" s="102">
        <v>220</v>
      </c>
      <c r="S59" s="59"/>
    </row>
    <row r="60" ht="116" spans="1:19">
      <c r="A60" s="87" t="s">
        <v>218</v>
      </c>
      <c r="B60" s="70" t="s">
        <v>219</v>
      </c>
      <c r="C60" s="70" t="s">
        <v>214</v>
      </c>
      <c r="D60" s="88" t="s">
        <v>156</v>
      </c>
      <c r="E60" s="88"/>
      <c r="F60" s="53" t="s">
        <v>24</v>
      </c>
      <c r="G60" s="55">
        <v>180</v>
      </c>
      <c r="H60" s="55">
        <v>90.581843</v>
      </c>
      <c r="I60" s="55">
        <v>12</v>
      </c>
      <c r="J60" s="55">
        <f t="shared" si="13"/>
        <v>282.581843</v>
      </c>
      <c r="K60" s="55">
        <f t="shared" si="12"/>
        <v>28.2581843</v>
      </c>
      <c r="L60" s="36">
        <f t="shared" si="14"/>
        <v>311</v>
      </c>
      <c r="M60" s="89"/>
      <c r="N60" s="57">
        <f t="shared" si="15"/>
        <v>133.118971061093</v>
      </c>
      <c r="O60" s="57">
        <f t="shared" si="16"/>
        <v>66.9897874276527</v>
      </c>
      <c r="P60" s="57">
        <f t="shared" si="17"/>
        <v>8.87459807073955</v>
      </c>
      <c r="Q60" s="57">
        <f t="shared" si="3"/>
        <v>208.983356559486</v>
      </c>
      <c r="R60" s="102">
        <v>230</v>
      </c>
      <c r="S60" s="59"/>
    </row>
    <row r="61" ht="78" spans="1:19">
      <c r="A61" s="87" t="s">
        <v>220</v>
      </c>
      <c r="B61" s="70" t="s">
        <v>221</v>
      </c>
      <c r="C61" s="70" t="s">
        <v>222</v>
      </c>
      <c r="D61" s="88" t="s">
        <v>156</v>
      </c>
      <c r="E61" s="52" t="s">
        <v>223</v>
      </c>
      <c r="F61" s="53" t="s">
        <v>24</v>
      </c>
      <c r="G61" s="55">
        <v>54.08</v>
      </c>
      <c r="H61" s="79">
        <v>44.47645125</v>
      </c>
      <c r="I61" s="103">
        <v>2</v>
      </c>
      <c r="J61" s="55">
        <f t="shared" si="13"/>
        <v>100.55645125</v>
      </c>
      <c r="K61" s="55">
        <f t="shared" si="12"/>
        <v>10.055645125</v>
      </c>
      <c r="L61" s="36">
        <f t="shared" si="14"/>
        <v>111</v>
      </c>
      <c r="M61" s="99"/>
      <c r="N61" s="57">
        <f t="shared" si="15"/>
        <v>52.6183783783784</v>
      </c>
      <c r="O61" s="57">
        <f t="shared" si="16"/>
        <v>43.274385</v>
      </c>
      <c r="P61" s="57">
        <f t="shared" si="17"/>
        <v>1.94594594594595</v>
      </c>
      <c r="Q61" s="57">
        <f t="shared" si="3"/>
        <v>97.8387093243243</v>
      </c>
      <c r="R61" s="58">
        <v>108</v>
      </c>
      <c r="S61" s="59"/>
    </row>
    <row r="62" ht="43.5" spans="1:19">
      <c r="A62" s="87" t="s">
        <v>224</v>
      </c>
      <c r="B62" s="70" t="s">
        <v>225</v>
      </c>
      <c r="C62" s="70" t="s">
        <v>226</v>
      </c>
      <c r="D62" s="88" t="s">
        <v>156</v>
      </c>
      <c r="E62" s="52" t="s">
        <v>226</v>
      </c>
      <c r="F62" s="53" t="s">
        <v>24</v>
      </c>
      <c r="G62" s="55">
        <v>42</v>
      </c>
      <c r="H62" s="79"/>
      <c r="I62" s="103">
        <v>8</v>
      </c>
      <c r="J62" s="55">
        <f t="shared" si="13"/>
        <v>50</v>
      </c>
      <c r="K62" s="55">
        <f t="shared" si="12"/>
        <v>5</v>
      </c>
      <c r="L62" s="36">
        <f t="shared" si="14"/>
        <v>55</v>
      </c>
      <c r="M62" s="99"/>
      <c r="N62" s="57">
        <f t="shared" si="15"/>
        <v>34.3636363636364</v>
      </c>
      <c r="O62" s="57">
        <f t="shared" si="16"/>
        <v>0</v>
      </c>
      <c r="P62" s="57">
        <f t="shared" si="17"/>
        <v>6.54545454545455</v>
      </c>
      <c r="Q62" s="57">
        <f t="shared" si="3"/>
        <v>40.9090909090909</v>
      </c>
      <c r="R62" s="58">
        <v>45</v>
      </c>
      <c r="S62" s="59"/>
    </row>
    <row r="63" ht="29" spans="1:19">
      <c r="A63" s="87" t="s">
        <v>227</v>
      </c>
      <c r="B63" s="70" t="s">
        <v>228</v>
      </c>
      <c r="C63" s="71"/>
      <c r="D63" s="88" t="s">
        <v>185</v>
      </c>
      <c r="E63" s="88" t="s">
        <v>229</v>
      </c>
      <c r="F63" s="53" t="s">
        <v>47</v>
      </c>
      <c r="G63" s="55">
        <v>21.12</v>
      </c>
      <c r="H63" s="55">
        <v>117.251505</v>
      </c>
      <c r="I63" s="55">
        <v>1</v>
      </c>
      <c r="J63" s="55">
        <f t="shared" si="13"/>
        <v>139.371505</v>
      </c>
      <c r="K63" s="55">
        <f t="shared" si="12"/>
        <v>13.9371505</v>
      </c>
      <c r="L63" s="36">
        <f t="shared" si="14"/>
        <v>153</v>
      </c>
      <c r="M63" s="99" t="s">
        <v>230</v>
      </c>
      <c r="N63" s="57">
        <f t="shared" si="15"/>
        <v>17.9450980392157</v>
      </c>
      <c r="O63" s="57">
        <f t="shared" si="16"/>
        <v>99.6254617647059</v>
      </c>
      <c r="P63" s="57">
        <f t="shared" si="17"/>
        <v>0.849673202614379</v>
      </c>
      <c r="Q63" s="57">
        <f t="shared" si="3"/>
        <v>118.420233006536</v>
      </c>
      <c r="R63" s="58">
        <v>130</v>
      </c>
      <c r="S63" s="59"/>
    </row>
    <row r="64" ht="58" spans="1:19">
      <c r="A64" s="87" t="s">
        <v>231</v>
      </c>
      <c r="B64" s="70" t="s">
        <v>232</v>
      </c>
      <c r="C64" s="70" t="s">
        <v>233</v>
      </c>
      <c r="D64" s="88" t="s">
        <v>185</v>
      </c>
      <c r="E64" s="52" t="s">
        <v>234</v>
      </c>
      <c r="F64" s="53" t="s">
        <v>47</v>
      </c>
      <c r="G64" s="55">
        <v>15</v>
      </c>
      <c r="H64" s="55">
        <v>15.5825</v>
      </c>
      <c r="I64" s="55">
        <v>2</v>
      </c>
      <c r="J64" s="55">
        <f t="shared" si="13"/>
        <v>32.5825</v>
      </c>
      <c r="K64" s="55">
        <f t="shared" si="12"/>
        <v>3.25825</v>
      </c>
      <c r="L64" s="36">
        <f t="shared" si="14"/>
        <v>36</v>
      </c>
      <c r="M64" s="99" t="s">
        <v>235</v>
      </c>
      <c r="N64" s="57">
        <f t="shared" si="15"/>
        <v>11.6666666666667</v>
      </c>
      <c r="O64" s="57">
        <f t="shared" si="16"/>
        <v>12.1197222222222</v>
      </c>
      <c r="P64" s="57">
        <f t="shared" si="17"/>
        <v>1.55555555555556</v>
      </c>
      <c r="Q64" s="57">
        <f t="shared" si="3"/>
        <v>25.3419444444444</v>
      </c>
      <c r="R64" s="58">
        <v>28</v>
      </c>
      <c r="S64" s="59"/>
    </row>
    <row r="65" ht="78" spans="1:19">
      <c r="A65" s="87" t="s">
        <v>236</v>
      </c>
      <c r="B65" s="70" t="s">
        <v>237</v>
      </c>
      <c r="C65" s="70" t="s">
        <v>238</v>
      </c>
      <c r="D65" s="88" t="s">
        <v>156</v>
      </c>
      <c r="E65" s="52" t="s">
        <v>239</v>
      </c>
      <c r="F65" s="53" t="s">
        <v>24</v>
      </c>
      <c r="G65" s="55">
        <v>76.96</v>
      </c>
      <c r="H65" s="79">
        <v>303.6</v>
      </c>
      <c r="I65" s="55">
        <v>65.55</v>
      </c>
      <c r="J65" s="55">
        <f t="shared" si="13"/>
        <v>446.11</v>
      </c>
      <c r="K65" s="55">
        <f t="shared" si="12"/>
        <v>44.611</v>
      </c>
      <c r="L65" s="36">
        <f t="shared" si="14"/>
        <v>491</v>
      </c>
      <c r="M65" s="99"/>
      <c r="N65" s="57">
        <f t="shared" si="15"/>
        <v>65.8313645621181</v>
      </c>
      <c r="O65" s="57">
        <f t="shared" si="16"/>
        <v>259.698574338086</v>
      </c>
      <c r="P65" s="57">
        <f t="shared" si="17"/>
        <v>56.071283095723</v>
      </c>
      <c r="Q65" s="57">
        <f t="shared" si="3"/>
        <v>381.601221995927</v>
      </c>
      <c r="R65" s="58">
        <v>420</v>
      </c>
      <c r="S65" s="59"/>
    </row>
    <row r="66" ht="43.5" spans="1:19">
      <c r="A66" s="87" t="s">
        <v>240</v>
      </c>
      <c r="B66" s="70" t="s">
        <v>241</v>
      </c>
      <c r="C66" s="70" t="s">
        <v>242</v>
      </c>
      <c r="D66" s="88" t="s">
        <v>243</v>
      </c>
      <c r="E66" s="88"/>
      <c r="F66" s="100" t="s">
        <v>150</v>
      </c>
      <c r="G66" s="55"/>
      <c r="H66" s="79">
        <v>50</v>
      </c>
      <c r="I66" s="103">
        <v>0.2852</v>
      </c>
      <c r="J66" s="55">
        <f t="shared" si="13"/>
        <v>50.2852</v>
      </c>
      <c r="K66" s="55">
        <f t="shared" si="12"/>
        <v>5.02852</v>
      </c>
      <c r="L66" s="36">
        <f t="shared" si="14"/>
        <v>55</v>
      </c>
      <c r="M66" s="99"/>
      <c r="N66" s="57">
        <f t="shared" si="15"/>
        <v>0</v>
      </c>
      <c r="O66" s="57">
        <f t="shared" si="16"/>
        <v>45.4545454545455</v>
      </c>
      <c r="P66" s="57">
        <f t="shared" si="17"/>
        <v>0.259272727272727</v>
      </c>
      <c r="Q66" s="57">
        <f t="shared" si="3"/>
        <v>45.7138181818182</v>
      </c>
      <c r="R66" s="58">
        <v>50</v>
      </c>
      <c r="S66" s="59"/>
    </row>
    <row r="67" ht="58" spans="1:19">
      <c r="A67" s="87" t="s">
        <v>244</v>
      </c>
      <c r="B67" s="70" t="s">
        <v>245</v>
      </c>
      <c r="C67" s="70" t="s">
        <v>246</v>
      </c>
      <c r="D67" s="88" t="s">
        <v>247</v>
      </c>
      <c r="E67" s="88"/>
      <c r="F67" s="53" t="s">
        <v>24</v>
      </c>
      <c r="G67" s="55">
        <v>54.08</v>
      </c>
      <c r="H67" s="79">
        <v>44.47645125</v>
      </c>
      <c r="I67" s="103">
        <v>2</v>
      </c>
      <c r="J67" s="55">
        <f t="shared" si="13"/>
        <v>100.55645125</v>
      </c>
      <c r="K67" s="55">
        <f t="shared" si="12"/>
        <v>10.055645125</v>
      </c>
      <c r="L67" s="36">
        <f t="shared" si="14"/>
        <v>111</v>
      </c>
      <c r="M67" s="99"/>
      <c r="N67" s="57">
        <f t="shared" si="15"/>
        <v>52.6183783783784</v>
      </c>
      <c r="O67" s="57">
        <f t="shared" si="16"/>
        <v>43.274385</v>
      </c>
      <c r="P67" s="57">
        <f t="shared" si="17"/>
        <v>1.94594594594595</v>
      </c>
      <c r="Q67" s="57">
        <f t="shared" si="3"/>
        <v>97.8387093243243</v>
      </c>
      <c r="R67" s="58">
        <v>108</v>
      </c>
      <c r="S67" s="59"/>
    </row>
    <row r="68" ht="101.5" spans="1:19">
      <c r="A68" s="87" t="s">
        <v>248</v>
      </c>
      <c r="B68" s="70" t="s">
        <v>249</v>
      </c>
      <c r="C68" s="104" t="s">
        <v>250</v>
      </c>
      <c r="D68" s="71" t="s">
        <v>156</v>
      </c>
      <c r="E68" s="104" t="s">
        <v>251</v>
      </c>
      <c r="F68" s="53" t="s">
        <v>24</v>
      </c>
      <c r="G68" s="55">
        <v>18.144</v>
      </c>
      <c r="H68" s="55">
        <v>145</v>
      </c>
      <c r="I68" s="103">
        <v>5</v>
      </c>
      <c r="J68" s="103">
        <f t="shared" si="13"/>
        <v>168.144</v>
      </c>
      <c r="K68" s="55">
        <f t="shared" si="12"/>
        <v>16.8144</v>
      </c>
      <c r="L68" s="101">
        <f t="shared" si="14"/>
        <v>185</v>
      </c>
      <c r="M68" s="105" t="s">
        <v>252</v>
      </c>
      <c r="N68" s="57">
        <f t="shared" si="15"/>
        <v>18.6343783783784</v>
      </c>
      <c r="O68" s="57">
        <f t="shared" si="16"/>
        <v>148.918918918919</v>
      </c>
      <c r="P68" s="57">
        <f t="shared" si="17"/>
        <v>5.13513513513514</v>
      </c>
      <c r="Q68" s="57">
        <f t="shared" si="3"/>
        <v>172.688432432432</v>
      </c>
      <c r="R68" s="102">
        <v>190</v>
      </c>
      <c r="S68" s="59"/>
    </row>
    <row r="69" ht="101.5" spans="1:19">
      <c r="A69" s="87" t="s">
        <v>253</v>
      </c>
      <c r="B69" s="70" t="s">
        <v>254</v>
      </c>
      <c r="C69" s="104" t="s">
        <v>255</v>
      </c>
      <c r="D69" s="71" t="s">
        <v>156</v>
      </c>
      <c r="E69" s="104" t="s">
        <v>251</v>
      </c>
      <c r="F69" s="53" t="s">
        <v>24</v>
      </c>
      <c r="G69" s="55">
        <v>18.144</v>
      </c>
      <c r="H69" s="55">
        <v>135</v>
      </c>
      <c r="I69" s="103">
        <v>5</v>
      </c>
      <c r="J69" s="103">
        <f t="shared" si="13"/>
        <v>158.144</v>
      </c>
      <c r="K69" s="55">
        <f t="shared" si="12"/>
        <v>15.8144</v>
      </c>
      <c r="L69" s="101">
        <f t="shared" si="14"/>
        <v>174</v>
      </c>
      <c r="M69" s="105" t="s">
        <v>256</v>
      </c>
      <c r="N69" s="57">
        <f t="shared" si="15"/>
        <v>17.7268965517241</v>
      </c>
      <c r="O69" s="57">
        <f t="shared" si="16"/>
        <v>131.896551724138</v>
      </c>
      <c r="P69" s="57">
        <f t="shared" si="17"/>
        <v>4.88505747126437</v>
      </c>
      <c r="Q69" s="57">
        <f t="shared" si="3"/>
        <v>154.508505747126</v>
      </c>
      <c r="R69" s="102">
        <v>170</v>
      </c>
      <c r="S69" s="59"/>
    </row>
    <row r="70" ht="101.5" spans="1:19">
      <c r="A70" s="87" t="s">
        <v>257</v>
      </c>
      <c r="B70" s="70" t="s">
        <v>249</v>
      </c>
      <c r="C70" s="104" t="s">
        <v>258</v>
      </c>
      <c r="D70" s="71" t="s">
        <v>156</v>
      </c>
      <c r="E70" s="104" t="s">
        <v>251</v>
      </c>
      <c r="F70" s="53" t="s">
        <v>24</v>
      </c>
      <c r="G70" s="55">
        <v>18.144</v>
      </c>
      <c r="H70" s="55">
        <v>131</v>
      </c>
      <c r="I70" s="103">
        <v>5</v>
      </c>
      <c r="J70" s="103">
        <f t="shared" si="13"/>
        <v>154.144</v>
      </c>
      <c r="K70" s="55">
        <f t="shared" si="12"/>
        <v>15.4144</v>
      </c>
      <c r="L70" s="101">
        <f t="shared" si="14"/>
        <v>170</v>
      </c>
      <c r="M70" s="105" t="s">
        <v>259</v>
      </c>
      <c r="N70" s="57">
        <f t="shared" si="15"/>
        <v>16.0094117647059</v>
      </c>
      <c r="O70" s="57">
        <f t="shared" si="16"/>
        <v>115.588235294118</v>
      </c>
      <c r="P70" s="57">
        <f t="shared" si="17"/>
        <v>4.41176470588235</v>
      </c>
      <c r="Q70" s="57">
        <f t="shared" si="3"/>
        <v>136.009411764706</v>
      </c>
      <c r="R70" s="102">
        <v>150</v>
      </c>
      <c r="S70" s="59"/>
    </row>
    <row r="71" ht="101.5" spans="1:19">
      <c r="A71" s="87" t="s">
        <v>260</v>
      </c>
      <c r="B71" s="70" t="s">
        <v>254</v>
      </c>
      <c r="C71" s="104" t="s">
        <v>261</v>
      </c>
      <c r="D71" s="71" t="s">
        <v>156</v>
      </c>
      <c r="E71" s="104" t="s">
        <v>251</v>
      </c>
      <c r="F71" s="53" t="s">
        <v>24</v>
      </c>
      <c r="G71" s="55">
        <v>18.144</v>
      </c>
      <c r="H71" s="55">
        <v>120</v>
      </c>
      <c r="I71" s="79">
        <v>5</v>
      </c>
      <c r="J71" s="79">
        <f t="shared" si="13"/>
        <v>143.144</v>
      </c>
      <c r="K71" s="55">
        <f t="shared" si="12"/>
        <v>14.3144</v>
      </c>
      <c r="L71" s="101">
        <f t="shared" si="14"/>
        <v>157</v>
      </c>
      <c r="M71" s="105" t="s">
        <v>262</v>
      </c>
      <c r="N71" s="57">
        <f t="shared" si="15"/>
        <v>16.1793630573248</v>
      </c>
      <c r="O71" s="57">
        <f t="shared" si="16"/>
        <v>107.006369426752</v>
      </c>
      <c r="P71" s="57">
        <f t="shared" si="17"/>
        <v>4.45859872611465</v>
      </c>
      <c r="Q71" s="57">
        <f t="shared" ref="Q71:Q134" si="18">SUM(N71:P71)</f>
        <v>127.644331210191</v>
      </c>
      <c r="R71" s="102">
        <v>140</v>
      </c>
      <c r="S71" s="59"/>
    </row>
    <row r="72" s="14" customFormat="1" ht="22.5" customHeight="1" spans="1:19">
      <c r="A72" s="80" t="s">
        <v>263</v>
      </c>
      <c r="B72" s="81"/>
      <c r="C72" s="82"/>
      <c r="D72" s="83"/>
      <c r="E72" s="83"/>
      <c r="F72" s="83"/>
      <c r="G72" s="83"/>
      <c r="H72" s="83"/>
      <c r="I72" s="83"/>
      <c r="J72" s="83"/>
      <c r="K72" s="83"/>
      <c r="L72" s="83"/>
      <c r="M72" s="84"/>
      <c r="N72" s="57"/>
      <c r="O72" s="57"/>
      <c r="P72" s="57"/>
      <c r="Q72" s="57">
        <f t="shared" si="18"/>
        <v>0</v>
      </c>
      <c r="R72" s="85"/>
      <c r="S72" s="86"/>
    </row>
    <row r="73" customHeight="1" spans="1:19">
      <c r="A73" s="106" t="s">
        <v>264</v>
      </c>
      <c r="B73" s="107" t="s">
        <v>265</v>
      </c>
      <c r="C73" s="108"/>
      <c r="D73" s="109"/>
      <c r="E73" s="109"/>
      <c r="F73" s="109"/>
      <c r="G73" s="109"/>
      <c r="H73" s="109"/>
      <c r="I73" s="109"/>
      <c r="J73" s="109"/>
      <c r="K73" s="109"/>
      <c r="L73" s="109"/>
      <c r="M73" s="110"/>
      <c r="N73" s="57"/>
      <c r="O73" s="57"/>
      <c r="P73" s="57"/>
      <c r="Q73" s="57">
        <f t="shared" si="18"/>
        <v>0</v>
      </c>
      <c r="R73" s="58"/>
      <c r="S73" s="59"/>
    </row>
    <row r="74" ht="52" spans="1:19">
      <c r="A74" s="87" t="s">
        <v>266</v>
      </c>
      <c r="B74" s="68" t="s">
        <v>267</v>
      </c>
      <c r="C74" s="64" t="s">
        <v>268</v>
      </c>
      <c r="D74" s="68" t="s">
        <v>185</v>
      </c>
      <c r="E74" s="70" t="s">
        <v>269</v>
      </c>
      <c r="F74" s="69" t="s">
        <v>47</v>
      </c>
      <c r="G74" s="79">
        <v>16.5088</v>
      </c>
      <c r="H74" s="79">
        <v>10.5766815</v>
      </c>
      <c r="I74" s="79">
        <v>1.5</v>
      </c>
      <c r="J74" s="79">
        <f t="shared" ref="J74:J104" si="19">G74+H74+I74</f>
        <v>28.5854815</v>
      </c>
      <c r="K74" s="79">
        <f>J74*0.1</f>
        <v>2.85854815</v>
      </c>
      <c r="L74" s="101">
        <f t="shared" ref="L74:L96" si="20">ROUND((J74+K74),0)</f>
        <v>31</v>
      </c>
      <c r="M74" s="111"/>
      <c r="N74" s="57">
        <f t="shared" ref="N74:N104" si="21">+R74/L74*G74</f>
        <v>13.3135483870968</v>
      </c>
      <c r="O74" s="57">
        <f t="shared" ref="O74:O104" si="22">+R74/L74*H74</f>
        <v>8.52958185483871</v>
      </c>
      <c r="P74" s="57">
        <f t="shared" ref="P74:P104" si="23">+R74/L74*I74</f>
        <v>1.20967741935484</v>
      </c>
      <c r="Q74" s="57">
        <f t="shared" si="18"/>
        <v>23.0528076612903</v>
      </c>
      <c r="R74" s="102">
        <v>25</v>
      </c>
      <c r="S74" s="59"/>
    </row>
    <row r="75" ht="52" spans="1:19">
      <c r="A75" s="87" t="s">
        <v>270</v>
      </c>
      <c r="B75" s="68" t="s">
        <v>267</v>
      </c>
      <c r="C75" s="64" t="s">
        <v>271</v>
      </c>
      <c r="D75" s="112" t="s">
        <v>185</v>
      </c>
      <c r="E75" s="52" t="s">
        <v>269</v>
      </c>
      <c r="F75" s="69" t="s">
        <v>47</v>
      </c>
      <c r="G75" s="79">
        <v>16.5088</v>
      </c>
      <c r="H75" s="79">
        <v>0</v>
      </c>
      <c r="I75" s="79">
        <v>1.5</v>
      </c>
      <c r="J75" s="79">
        <f t="shared" si="19"/>
        <v>18.0088</v>
      </c>
      <c r="K75" s="79">
        <f>J75*0.1</f>
        <v>1.80088</v>
      </c>
      <c r="L75" s="101">
        <f t="shared" si="20"/>
        <v>20</v>
      </c>
      <c r="M75" s="111" t="s">
        <v>272</v>
      </c>
      <c r="N75" s="57">
        <f t="shared" si="21"/>
        <v>12.3816</v>
      </c>
      <c r="O75" s="57">
        <f t="shared" si="22"/>
        <v>0</v>
      </c>
      <c r="P75" s="57">
        <f t="shared" si="23"/>
        <v>1.125</v>
      </c>
      <c r="Q75" s="57">
        <f t="shared" si="18"/>
        <v>13.5066</v>
      </c>
      <c r="R75" s="102">
        <v>15</v>
      </c>
      <c r="S75" s="59"/>
    </row>
    <row r="76" ht="39" spans="1:19">
      <c r="A76" s="87" t="s">
        <v>273</v>
      </c>
      <c r="B76" s="68" t="s">
        <v>274</v>
      </c>
      <c r="C76" s="64" t="s">
        <v>275</v>
      </c>
      <c r="D76" s="68" t="s">
        <v>185</v>
      </c>
      <c r="E76" s="70" t="s">
        <v>276</v>
      </c>
      <c r="F76" s="69" t="s">
        <v>47</v>
      </c>
      <c r="G76" s="79">
        <v>11.088</v>
      </c>
      <c r="H76" s="79">
        <v>39.3691914</v>
      </c>
      <c r="I76" s="79">
        <v>0.5</v>
      </c>
      <c r="J76" s="79">
        <f t="shared" si="19"/>
        <v>50.9571914</v>
      </c>
      <c r="K76" s="79">
        <f t="shared" ref="K75:K104" si="24">J76*0.1</f>
        <v>5.09571914</v>
      </c>
      <c r="L76" s="101">
        <f t="shared" si="20"/>
        <v>56</v>
      </c>
      <c r="M76" s="111" t="s">
        <v>277</v>
      </c>
      <c r="N76" s="57">
        <f t="shared" si="21"/>
        <v>7.92</v>
      </c>
      <c r="O76" s="57">
        <f t="shared" si="22"/>
        <v>28.120851</v>
      </c>
      <c r="P76" s="57">
        <f t="shared" si="23"/>
        <v>0.357142857142857</v>
      </c>
      <c r="Q76" s="57">
        <f t="shared" si="18"/>
        <v>36.3979938571429</v>
      </c>
      <c r="R76" s="58">
        <v>40</v>
      </c>
      <c r="S76" s="59"/>
    </row>
    <row r="77" ht="27" customHeight="1" spans="1:19">
      <c r="A77" s="87" t="s">
        <v>278</v>
      </c>
      <c r="B77" s="68" t="s">
        <v>279</v>
      </c>
      <c r="C77" s="64" t="s">
        <v>280</v>
      </c>
      <c r="D77" s="68" t="s">
        <v>185</v>
      </c>
      <c r="E77" s="70" t="s">
        <v>281</v>
      </c>
      <c r="F77" s="69" t="s">
        <v>47</v>
      </c>
      <c r="G77" s="79">
        <v>5.18848</v>
      </c>
      <c r="H77" s="79">
        <v>0</v>
      </c>
      <c r="I77" s="79">
        <v>0</v>
      </c>
      <c r="J77" s="79">
        <f t="shared" si="19"/>
        <v>5.18848</v>
      </c>
      <c r="K77" s="79">
        <f t="shared" si="24"/>
        <v>0.518848</v>
      </c>
      <c r="L77" s="101">
        <f t="shared" si="20"/>
        <v>6</v>
      </c>
      <c r="M77" s="111" t="s">
        <v>282</v>
      </c>
      <c r="N77" s="57">
        <f t="shared" si="21"/>
        <v>4.32373333333333</v>
      </c>
      <c r="O77" s="57">
        <f t="shared" si="22"/>
        <v>0</v>
      </c>
      <c r="P77" s="57">
        <f t="shared" si="23"/>
        <v>0</v>
      </c>
      <c r="Q77" s="57">
        <f t="shared" si="18"/>
        <v>4.32373333333333</v>
      </c>
      <c r="R77" s="58">
        <v>5</v>
      </c>
      <c r="S77" s="59"/>
    </row>
    <row r="78" ht="29" spans="1:19">
      <c r="A78" s="87" t="s">
        <v>283</v>
      </c>
      <c r="B78" s="68" t="s">
        <v>284</v>
      </c>
      <c r="C78" s="52" t="s">
        <v>285</v>
      </c>
      <c r="D78" s="68" t="s">
        <v>156</v>
      </c>
      <c r="E78" s="70" t="s">
        <v>286</v>
      </c>
      <c r="F78" s="53" t="s">
        <v>24</v>
      </c>
      <c r="G78" s="79">
        <v>110</v>
      </c>
      <c r="H78" s="79">
        <v>124.9054905</v>
      </c>
      <c r="I78" s="79">
        <v>8</v>
      </c>
      <c r="J78" s="79">
        <f t="shared" si="19"/>
        <v>242.9054905</v>
      </c>
      <c r="K78" s="79">
        <f t="shared" si="24"/>
        <v>24.29054905</v>
      </c>
      <c r="L78" s="101">
        <f t="shared" si="20"/>
        <v>267</v>
      </c>
      <c r="M78" s="111"/>
      <c r="N78" s="57">
        <f t="shared" si="21"/>
        <v>74.1573033707865</v>
      </c>
      <c r="O78" s="57">
        <f t="shared" si="22"/>
        <v>84.2059486516854</v>
      </c>
      <c r="P78" s="57">
        <f t="shared" si="23"/>
        <v>5.39325842696629</v>
      </c>
      <c r="Q78" s="57">
        <f t="shared" si="18"/>
        <v>163.756510449438</v>
      </c>
      <c r="R78" s="102">
        <v>180</v>
      </c>
      <c r="S78" s="59"/>
    </row>
    <row r="79" ht="43.5" spans="1:19">
      <c r="A79" s="87" t="s">
        <v>287</v>
      </c>
      <c r="B79" s="104" t="s">
        <v>288</v>
      </c>
      <c r="C79" s="52" t="s">
        <v>285</v>
      </c>
      <c r="D79" s="68" t="s">
        <v>156</v>
      </c>
      <c r="E79" s="70"/>
      <c r="F79" s="53" t="s">
        <v>24</v>
      </c>
      <c r="G79" s="79">
        <v>134.64</v>
      </c>
      <c r="H79" s="79">
        <v>132.431976</v>
      </c>
      <c r="I79" s="79">
        <v>10</v>
      </c>
      <c r="J79" s="79">
        <f t="shared" si="19"/>
        <v>277.071976</v>
      </c>
      <c r="K79" s="79">
        <f t="shared" si="24"/>
        <v>27.7071976</v>
      </c>
      <c r="L79" s="101">
        <f t="shared" si="20"/>
        <v>305</v>
      </c>
      <c r="M79" s="111"/>
      <c r="N79" s="57">
        <f t="shared" si="21"/>
        <v>101.531803278689</v>
      </c>
      <c r="O79" s="57">
        <f t="shared" si="22"/>
        <v>99.866736</v>
      </c>
      <c r="P79" s="57">
        <f t="shared" si="23"/>
        <v>7.54098360655738</v>
      </c>
      <c r="Q79" s="57">
        <f t="shared" si="18"/>
        <v>208.939522885246</v>
      </c>
      <c r="R79" s="102">
        <v>230</v>
      </c>
      <c r="S79" s="59"/>
    </row>
    <row r="80" ht="39" spans="1:19">
      <c r="A80" s="87" t="s">
        <v>289</v>
      </c>
      <c r="B80" s="70" t="s">
        <v>290</v>
      </c>
      <c r="C80" s="52" t="s">
        <v>226</v>
      </c>
      <c r="D80" s="88" t="s">
        <v>156</v>
      </c>
      <c r="E80" s="52" t="s">
        <v>226</v>
      </c>
      <c r="F80" s="53" t="s">
        <v>24</v>
      </c>
      <c r="G80" s="55">
        <v>36</v>
      </c>
      <c r="H80" s="78"/>
      <c r="I80" s="79">
        <v>8</v>
      </c>
      <c r="J80" s="55">
        <f t="shared" si="19"/>
        <v>44</v>
      </c>
      <c r="K80" s="79">
        <f t="shared" si="24"/>
        <v>4.4</v>
      </c>
      <c r="L80" s="101">
        <f t="shared" si="20"/>
        <v>48</v>
      </c>
      <c r="M80" s="111"/>
      <c r="N80" s="57">
        <f t="shared" si="21"/>
        <v>26.25</v>
      </c>
      <c r="O80" s="57">
        <f t="shared" si="22"/>
        <v>0</v>
      </c>
      <c r="P80" s="57">
        <f t="shared" si="23"/>
        <v>5.83333333333333</v>
      </c>
      <c r="Q80" s="57">
        <f t="shared" si="18"/>
        <v>32.0833333333333</v>
      </c>
      <c r="R80" s="102">
        <v>35</v>
      </c>
      <c r="S80" s="59"/>
    </row>
    <row r="81" ht="39" spans="1:19">
      <c r="A81" s="87" t="s">
        <v>291</v>
      </c>
      <c r="B81" s="68" t="s">
        <v>292</v>
      </c>
      <c r="C81" s="64" t="s">
        <v>293</v>
      </c>
      <c r="D81" s="68" t="s">
        <v>156</v>
      </c>
      <c r="E81" s="70" t="s">
        <v>294</v>
      </c>
      <c r="F81" s="53" t="s">
        <v>24</v>
      </c>
      <c r="G81" s="79">
        <v>79.2</v>
      </c>
      <c r="H81" s="79">
        <v>96.346215</v>
      </c>
      <c r="I81" s="79">
        <v>5</v>
      </c>
      <c r="J81" s="79">
        <f t="shared" si="19"/>
        <v>180.546215</v>
      </c>
      <c r="K81" s="79">
        <f t="shared" si="24"/>
        <v>18.0546215</v>
      </c>
      <c r="L81" s="101">
        <f t="shared" si="20"/>
        <v>199</v>
      </c>
      <c r="M81" s="113"/>
      <c r="N81" s="57">
        <f t="shared" si="21"/>
        <v>59.6984924623116</v>
      </c>
      <c r="O81" s="57">
        <f t="shared" si="22"/>
        <v>72.6227751256282</v>
      </c>
      <c r="P81" s="57">
        <f t="shared" si="23"/>
        <v>3.76884422110553</v>
      </c>
      <c r="Q81" s="57">
        <f t="shared" si="18"/>
        <v>136.090111809045</v>
      </c>
      <c r="R81" s="102">
        <v>150</v>
      </c>
      <c r="S81" s="59"/>
    </row>
    <row r="82" ht="43.5" spans="1:19">
      <c r="A82" s="87" t="s">
        <v>295</v>
      </c>
      <c r="B82" s="68" t="s">
        <v>296</v>
      </c>
      <c r="C82" s="64" t="s">
        <v>297</v>
      </c>
      <c r="D82" s="68" t="s">
        <v>156</v>
      </c>
      <c r="E82" s="70" t="s">
        <v>298</v>
      </c>
      <c r="F82" s="53" t="s">
        <v>24</v>
      </c>
      <c r="G82" s="79">
        <v>122.848</v>
      </c>
      <c r="H82" s="79">
        <v>103.163445</v>
      </c>
      <c r="I82" s="79">
        <v>5</v>
      </c>
      <c r="J82" s="79">
        <f t="shared" si="19"/>
        <v>231.011445</v>
      </c>
      <c r="K82" s="79">
        <f t="shared" si="24"/>
        <v>23.1011445</v>
      </c>
      <c r="L82" s="101">
        <f t="shared" si="20"/>
        <v>254</v>
      </c>
      <c r="M82" s="113"/>
      <c r="N82" s="57">
        <f t="shared" si="21"/>
        <v>101.567244094488</v>
      </c>
      <c r="O82" s="57">
        <f t="shared" si="22"/>
        <v>85.292612007874</v>
      </c>
      <c r="P82" s="57">
        <f t="shared" si="23"/>
        <v>4.13385826771654</v>
      </c>
      <c r="Q82" s="57">
        <f t="shared" si="18"/>
        <v>190.993714370079</v>
      </c>
      <c r="R82" s="102">
        <v>210</v>
      </c>
      <c r="S82" s="59"/>
    </row>
    <row r="83" ht="29" spans="1:19">
      <c r="A83" s="87" t="s">
        <v>299</v>
      </c>
      <c r="B83" s="68" t="s">
        <v>300</v>
      </c>
      <c r="C83" s="64" t="s">
        <v>301</v>
      </c>
      <c r="D83" s="68" t="s">
        <v>156</v>
      </c>
      <c r="E83" s="70" t="s">
        <v>302</v>
      </c>
      <c r="F83" s="53" t="s">
        <v>24</v>
      </c>
      <c r="G83" s="79">
        <v>37.664</v>
      </c>
      <c r="H83" s="79">
        <v>62.370517</v>
      </c>
      <c r="I83" s="79">
        <v>4</v>
      </c>
      <c r="J83" s="79">
        <f t="shared" si="19"/>
        <v>104.034517</v>
      </c>
      <c r="K83" s="79">
        <f t="shared" si="24"/>
        <v>10.4034517</v>
      </c>
      <c r="L83" s="101">
        <f t="shared" si="20"/>
        <v>114</v>
      </c>
      <c r="M83" s="111"/>
      <c r="N83" s="57">
        <f t="shared" si="21"/>
        <v>28.0828070175439</v>
      </c>
      <c r="O83" s="57">
        <f t="shared" si="22"/>
        <v>46.5043328508772</v>
      </c>
      <c r="P83" s="57">
        <f t="shared" si="23"/>
        <v>2.98245614035088</v>
      </c>
      <c r="Q83" s="57">
        <f t="shared" si="18"/>
        <v>77.5695960087719</v>
      </c>
      <c r="R83" s="102">
        <v>85</v>
      </c>
      <c r="S83" s="59"/>
    </row>
    <row r="84" ht="43.5" spans="1:19">
      <c r="A84" s="87" t="s">
        <v>303</v>
      </c>
      <c r="B84" s="68" t="s">
        <v>304</v>
      </c>
      <c r="C84" s="64" t="s">
        <v>305</v>
      </c>
      <c r="D84" s="68" t="s">
        <v>156</v>
      </c>
      <c r="E84" s="70" t="s">
        <v>294</v>
      </c>
      <c r="F84" s="53" t="s">
        <v>24</v>
      </c>
      <c r="G84" s="79">
        <v>79.2</v>
      </c>
      <c r="H84" s="79">
        <v>138.76338</v>
      </c>
      <c r="I84" s="79">
        <v>9</v>
      </c>
      <c r="J84" s="79">
        <f t="shared" si="19"/>
        <v>226.96338</v>
      </c>
      <c r="K84" s="79">
        <f t="shared" si="24"/>
        <v>22.696338</v>
      </c>
      <c r="L84" s="101">
        <f t="shared" si="20"/>
        <v>250</v>
      </c>
      <c r="M84" s="113"/>
      <c r="N84" s="57">
        <f t="shared" si="21"/>
        <v>58.608</v>
      </c>
      <c r="O84" s="57">
        <f t="shared" si="22"/>
        <v>102.6849012</v>
      </c>
      <c r="P84" s="57">
        <f t="shared" si="23"/>
        <v>6.66</v>
      </c>
      <c r="Q84" s="57">
        <f t="shared" si="18"/>
        <v>167.9529012</v>
      </c>
      <c r="R84" s="58">
        <v>185</v>
      </c>
      <c r="S84" s="59"/>
    </row>
    <row r="85" ht="65" spans="1:19">
      <c r="A85" s="87" t="s">
        <v>306</v>
      </c>
      <c r="B85" s="68" t="s">
        <v>307</v>
      </c>
      <c r="C85" s="64" t="s">
        <v>308</v>
      </c>
      <c r="D85" s="68" t="s">
        <v>156</v>
      </c>
      <c r="E85" s="70" t="s">
        <v>309</v>
      </c>
      <c r="F85" s="53" t="s">
        <v>24</v>
      </c>
      <c r="G85" s="79">
        <v>63.184</v>
      </c>
      <c r="H85" s="79">
        <v>218.74</v>
      </c>
      <c r="I85" s="79">
        <v>27</v>
      </c>
      <c r="J85" s="79">
        <f t="shared" si="19"/>
        <v>308.924</v>
      </c>
      <c r="K85" s="79">
        <f t="shared" si="24"/>
        <v>30.8924</v>
      </c>
      <c r="L85" s="101">
        <f t="shared" si="20"/>
        <v>340</v>
      </c>
      <c r="M85" s="111"/>
      <c r="N85" s="57">
        <f t="shared" si="21"/>
        <v>48.3171764705882</v>
      </c>
      <c r="O85" s="57">
        <f t="shared" si="22"/>
        <v>167.271764705882</v>
      </c>
      <c r="P85" s="57">
        <f t="shared" si="23"/>
        <v>20.6470588235294</v>
      </c>
      <c r="Q85" s="57">
        <f t="shared" si="18"/>
        <v>236.236</v>
      </c>
      <c r="R85" s="102">
        <v>260</v>
      </c>
      <c r="S85" s="59"/>
    </row>
    <row r="86" ht="65" spans="1:19">
      <c r="A86" s="87" t="s">
        <v>310</v>
      </c>
      <c r="B86" s="68" t="s">
        <v>311</v>
      </c>
      <c r="C86" s="64" t="s">
        <v>312</v>
      </c>
      <c r="D86" s="68" t="s">
        <v>156</v>
      </c>
      <c r="E86" s="70" t="s">
        <v>309</v>
      </c>
      <c r="F86" s="53" t="s">
        <v>24</v>
      </c>
      <c r="G86" s="79">
        <v>63.536</v>
      </c>
      <c r="H86" s="79">
        <v>246.96</v>
      </c>
      <c r="I86" s="79">
        <v>28</v>
      </c>
      <c r="J86" s="79">
        <f t="shared" si="19"/>
        <v>338.496</v>
      </c>
      <c r="K86" s="79">
        <f t="shared" si="24"/>
        <v>33.8496</v>
      </c>
      <c r="L86" s="101">
        <f t="shared" si="20"/>
        <v>372</v>
      </c>
      <c r="M86" s="111"/>
      <c r="N86" s="57">
        <f t="shared" si="21"/>
        <v>46.1148387096774</v>
      </c>
      <c r="O86" s="57">
        <f t="shared" si="22"/>
        <v>179.245161290323</v>
      </c>
      <c r="P86" s="57">
        <f t="shared" si="23"/>
        <v>20.3225806451613</v>
      </c>
      <c r="Q86" s="57">
        <f t="shared" si="18"/>
        <v>245.682580645161</v>
      </c>
      <c r="R86" s="58">
        <v>270</v>
      </c>
      <c r="S86" s="59"/>
    </row>
    <row r="87" ht="65" spans="1:19">
      <c r="A87" s="87" t="s">
        <v>313</v>
      </c>
      <c r="B87" s="68" t="s">
        <v>314</v>
      </c>
      <c r="C87" s="64" t="s">
        <v>315</v>
      </c>
      <c r="D87" s="68" t="s">
        <v>156</v>
      </c>
      <c r="E87" s="70" t="s">
        <v>309</v>
      </c>
      <c r="F87" s="53" t="s">
        <v>24</v>
      </c>
      <c r="G87" s="79">
        <v>64.24</v>
      </c>
      <c r="H87" s="79">
        <v>290.47</v>
      </c>
      <c r="I87" s="79">
        <v>28</v>
      </c>
      <c r="J87" s="79">
        <f t="shared" si="19"/>
        <v>382.71</v>
      </c>
      <c r="K87" s="79">
        <f t="shared" si="24"/>
        <v>38.271</v>
      </c>
      <c r="L87" s="101">
        <f t="shared" si="20"/>
        <v>421</v>
      </c>
      <c r="M87" s="111"/>
      <c r="N87" s="57">
        <f t="shared" si="21"/>
        <v>50.3543942992874</v>
      </c>
      <c r="O87" s="57">
        <f t="shared" si="22"/>
        <v>227.68432304038</v>
      </c>
      <c r="P87" s="57">
        <f t="shared" si="23"/>
        <v>21.9477434679335</v>
      </c>
      <c r="Q87" s="57">
        <f t="shared" si="18"/>
        <v>299.986460807601</v>
      </c>
      <c r="R87" s="58">
        <v>330</v>
      </c>
      <c r="S87" s="59"/>
    </row>
    <row r="88" ht="65" spans="1:19">
      <c r="A88" s="87" t="s">
        <v>316</v>
      </c>
      <c r="B88" s="68" t="s">
        <v>317</v>
      </c>
      <c r="C88" s="64" t="s">
        <v>318</v>
      </c>
      <c r="D88" s="68" t="s">
        <v>156</v>
      </c>
      <c r="E88" s="70" t="s">
        <v>309</v>
      </c>
      <c r="F88" s="53" t="s">
        <v>24</v>
      </c>
      <c r="G88" s="79">
        <v>63.536</v>
      </c>
      <c r="H88" s="79">
        <v>321.32</v>
      </c>
      <c r="I88" s="79">
        <v>28</v>
      </c>
      <c r="J88" s="79">
        <f t="shared" si="19"/>
        <v>412.856</v>
      </c>
      <c r="K88" s="79">
        <f t="shared" si="24"/>
        <v>41.2856</v>
      </c>
      <c r="L88" s="101">
        <f t="shared" si="20"/>
        <v>454</v>
      </c>
      <c r="M88" s="111"/>
      <c r="N88" s="57">
        <f t="shared" si="21"/>
        <v>48.2817621145375</v>
      </c>
      <c r="O88" s="57">
        <f t="shared" si="22"/>
        <v>244.174889867841</v>
      </c>
      <c r="P88" s="57">
        <f t="shared" si="23"/>
        <v>21.2775330396476</v>
      </c>
      <c r="Q88" s="57">
        <f t="shared" si="18"/>
        <v>313.734185022026</v>
      </c>
      <c r="R88" s="102">
        <v>345</v>
      </c>
      <c r="S88" s="59"/>
    </row>
    <row r="89" ht="65" spans="1:19">
      <c r="A89" s="87" t="s">
        <v>319</v>
      </c>
      <c r="B89" s="68" t="s">
        <v>320</v>
      </c>
      <c r="C89" s="64" t="s">
        <v>321</v>
      </c>
      <c r="D89" s="68" t="s">
        <v>156</v>
      </c>
      <c r="E89" s="70" t="s">
        <v>309</v>
      </c>
      <c r="F89" s="53" t="s">
        <v>24</v>
      </c>
      <c r="G89" s="79">
        <v>62.744</v>
      </c>
      <c r="H89" s="79">
        <v>375.81</v>
      </c>
      <c r="I89" s="79">
        <v>28</v>
      </c>
      <c r="J89" s="79">
        <f t="shared" si="19"/>
        <v>466.554</v>
      </c>
      <c r="K89" s="79">
        <f t="shared" si="24"/>
        <v>46.6554</v>
      </c>
      <c r="L89" s="101">
        <f t="shared" si="20"/>
        <v>513</v>
      </c>
      <c r="M89" s="73"/>
      <c r="N89" s="57">
        <f t="shared" si="21"/>
        <v>46.477037037037</v>
      </c>
      <c r="O89" s="57">
        <f t="shared" si="22"/>
        <v>278.377777777778</v>
      </c>
      <c r="P89" s="57">
        <f t="shared" si="23"/>
        <v>20.7407407407407</v>
      </c>
      <c r="Q89" s="57">
        <f t="shared" si="18"/>
        <v>345.595555555556</v>
      </c>
      <c r="R89" s="102">
        <v>380</v>
      </c>
      <c r="S89" s="59"/>
    </row>
    <row r="90" ht="39" spans="1:19">
      <c r="A90" s="87" t="s">
        <v>322</v>
      </c>
      <c r="B90" s="68" t="s">
        <v>323</v>
      </c>
      <c r="C90" s="64" t="s">
        <v>324</v>
      </c>
      <c r="D90" s="68" t="s">
        <v>156</v>
      </c>
      <c r="E90" s="70" t="s">
        <v>325</v>
      </c>
      <c r="F90" s="53" t="s">
        <v>24</v>
      </c>
      <c r="G90" s="79">
        <v>48.928</v>
      </c>
      <c r="H90" s="79">
        <v>120.404865</v>
      </c>
      <c r="I90" s="79">
        <v>34</v>
      </c>
      <c r="J90" s="79">
        <f t="shared" si="19"/>
        <v>203.332865</v>
      </c>
      <c r="K90" s="79">
        <f t="shared" si="24"/>
        <v>20.3332865</v>
      </c>
      <c r="L90" s="101">
        <f t="shared" si="20"/>
        <v>224</v>
      </c>
      <c r="M90" s="73"/>
      <c r="N90" s="57">
        <f t="shared" si="21"/>
        <v>39.3171428571429</v>
      </c>
      <c r="O90" s="57">
        <f t="shared" si="22"/>
        <v>96.753909375</v>
      </c>
      <c r="P90" s="57">
        <f t="shared" si="23"/>
        <v>27.3214285714286</v>
      </c>
      <c r="Q90" s="57">
        <f t="shared" si="18"/>
        <v>163.392480803571</v>
      </c>
      <c r="R90" s="102">
        <v>180</v>
      </c>
      <c r="S90" s="59"/>
    </row>
    <row r="91" ht="39" spans="1:19">
      <c r="A91" s="87" t="s">
        <v>326</v>
      </c>
      <c r="B91" s="68" t="s">
        <v>327</v>
      </c>
      <c r="C91" s="64" t="s">
        <v>328</v>
      </c>
      <c r="D91" s="68" t="s">
        <v>185</v>
      </c>
      <c r="E91" s="63" t="s">
        <v>329</v>
      </c>
      <c r="F91" s="69" t="s">
        <v>47</v>
      </c>
      <c r="G91" s="79">
        <f>2/1.2</f>
        <v>1.66666666666667</v>
      </c>
      <c r="H91" s="79"/>
      <c r="I91" s="79"/>
      <c r="J91" s="79">
        <f t="shared" si="19"/>
        <v>1.66666666666667</v>
      </c>
      <c r="K91" s="79">
        <f t="shared" si="24"/>
        <v>0.166666666666667</v>
      </c>
      <c r="L91" s="101">
        <f t="shared" si="20"/>
        <v>2</v>
      </c>
      <c r="M91" s="73"/>
      <c r="N91" s="57">
        <f t="shared" si="21"/>
        <v>1.25</v>
      </c>
      <c r="O91" s="57">
        <f t="shared" si="22"/>
        <v>0</v>
      </c>
      <c r="P91" s="57">
        <f t="shared" si="23"/>
        <v>0</v>
      </c>
      <c r="Q91" s="57">
        <f t="shared" si="18"/>
        <v>1.25</v>
      </c>
      <c r="R91" s="58">
        <v>1.5</v>
      </c>
      <c r="S91" s="59"/>
    </row>
    <row r="92" ht="52" spans="1:19">
      <c r="A92" s="87" t="s">
        <v>330</v>
      </c>
      <c r="B92" s="68" t="s">
        <v>331</v>
      </c>
      <c r="C92" s="64" t="s">
        <v>332</v>
      </c>
      <c r="D92" s="68" t="s">
        <v>156</v>
      </c>
      <c r="E92" s="70" t="s">
        <v>333</v>
      </c>
      <c r="F92" s="53" t="s">
        <v>24</v>
      </c>
      <c r="G92" s="79">
        <v>42.768</v>
      </c>
      <c r="H92" s="79">
        <v>31.63342875</v>
      </c>
      <c r="I92" s="79">
        <v>2</v>
      </c>
      <c r="J92" s="79">
        <f t="shared" si="19"/>
        <v>76.40142875</v>
      </c>
      <c r="K92" s="79">
        <f t="shared" si="24"/>
        <v>7.640142875</v>
      </c>
      <c r="L92" s="101">
        <f t="shared" si="20"/>
        <v>84</v>
      </c>
      <c r="M92" s="73"/>
      <c r="N92" s="57">
        <f t="shared" si="21"/>
        <v>33.0942857142857</v>
      </c>
      <c r="O92" s="57">
        <f t="shared" si="22"/>
        <v>24.4782484375</v>
      </c>
      <c r="P92" s="57">
        <f t="shared" si="23"/>
        <v>1.54761904761905</v>
      </c>
      <c r="Q92" s="57">
        <f t="shared" si="18"/>
        <v>59.1201531994048</v>
      </c>
      <c r="R92" s="102">
        <v>65</v>
      </c>
      <c r="S92" s="59"/>
    </row>
    <row r="93" ht="58" spans="1:19">
      <c r="A93" s="87" t="s">
        <v>334</v>
      </c>
      <c r="B93" s="68" t="s">
        <v>335</v>
      </c>
      <c r="C93" s="63" t="s">
        <v>336</v>
      </c>
      <c r="D93" s="68" t="s">
        <v>156</v>
      </c>
      <c r="E93" s="70" t="s">
        <v>333</v>
      </c>
      <c r="F93" s="69" t="s">
        <v>24</v>
      </c>
      <c r="G93" s="79">
        <v>65.472</v>
      </c>
      <c r="H93" s="79">
        <v>49.9473975</v>
      </c>
      <c r="I93" s="79">
        <v>3.5</v>
      </c>
      <c r="J93" s="79">
        <f t="shared" si="19"/>
        <v>118.9193975</v>
      </c>
      <c r="K93" s="79">
        <f t="shared" si="24"/>
        <v>11.89193975</v>
      </c>
      <c r="L93" s="101">
        <f t="shared" si="20"/>
        <v>131</v>
      </c>
      <c r="M93" s="67" t="s">
        <v>337</v>
      </c>
      <c r="N93" s="57">
        <f t="shared" si="21"/>
        <v>49.9786259541985</v>
      </c>
      <c r="O93" s="57">
        <f t="shared" si="22"/>
        <v>38.127784351145</v>
      </c>
      <c r="P93" s="57">
        <f t="shared" si="23"/>
        <v>2.67175572519084</v>
      </c>
      <c r="Q93" s="57">
        <f t="shared" si="18"/>
        <v>90.7781660305343</v>
      </c>
      <c r="R93" s="102">
        <v>100</v>
      </c>
      <c r="S93" s="59"/>
    </row>
    <row r="94" s="15" customFormat="1" ht="72.5" spans="1:19">
      <c r="A94" s="90" t="s">
        <v>338</v>
      </c>
      <c r="B94" s="114" t="s">
        <v>339</v>
      </c>
      <c r="C94" s="115" t="s">
        <v>340</v>
      </c>
      <c r="D94" s="114" t="s">
        <v>156</v>
      </c>
      <c r="E94" s="91" t="s">
        <v>333</v>
      </c>
      <c r="F94" s="116" t="s">
        <v>24</v>
      </c>
      <c r="G94" s="117">
        <f>65.472+10/1.2</f>
        <v>73.8053333333333</v>
      </c>
      <c r="H94" s="117">
        <f>49.9473975+15/1.2</f>
        <v>62.4473975</v>
      </c>
      <c r="I94" s="117">
        <v>3.5</v>
      </c>
      <c r="J94" s="117">
        <f t="shared" si="19"/>
        <v>139.752730833333</v>
      </c>
      <c r="K94" s="79">
        <f t="shared" si="24"/>
        <v>13.9752730833333</v>
      </c>
      <c r="L94" s="118">
        <f t="shared" si="20"/>
        <v>154</v>
      </c>
      <c r="M94" s="119"/>
      <c r="N94" s="57">
        <f t="shared" si="21"/>
        <v>59.9069264069264</v>
      </c>
      <c r="O94" s="57">
        <f t="shared" si="22"/>
        <v>50.6878226461039</v>
      </c>
      <c r="P94" s="57">
        <f t="shared" si="23"/>
        <v>2.84090909090909</v>
      </c>
      <c r="Q94" s="57">
        <f t="shared" si="18"/>
        <v>113.435658143939</v>
      </c>
      <c r="R94" s="102">
        <v>125</v>
      </c>
      <c r="S94" s="98"/>
    </row>
    <row r="95" ht="58" spans="1:19">
      <c r="A95" s="87" t="s">
        <v>341</v>
      </c>
      <c r="B95" s="68" t="s">
        <v>342</v>
      </c>
      <c r="C95" s="63" t="s">
        <v>343</v>
      </c>
      <c r="D95" s="68" t="s">
        <v>156</v>
      </c>
      <c r="E95" s="70" t="s">
        <v>344</v>
      </c>
      <c r="F95" s="69" t="s">
        <v>24</v>
      </c>
      <c r="G95" s="79">
        <v>40.48</v>
      </c>
      <c r="H95" s="79">
        <v>34.65</v>
      </c>
      <c r="I95" s="79">
        <v>1.5</v>
      </c>
      <c r="J95" s="79">
        <f t="shared" si="19"/>
        <v>76.63</v>
      </c>
      <c r="K95" s="79">
        <f t="shared" si="24"/>
        <v>7.663</v>
      </c>
      <c r="L95" s="101">
        <f t="shared" si="20"/>
        <v>84</v>
      </c>
      <c r="M95" s="67" t="s">
        <v>345</v>
      </c>
      <c r="N95" s="57">
        <f t="shared" si="21"/>
        <v>31.3238095238095</v>
      </c>
      <c r="O95" s="57">
        <f t="shared" si="22"/>
        <v>26.8125</v>
      </c>
      <c r="P95" s="57">
        <f t="shared" si="23"/>
        <v>1.16071428571429</v>
      </c>
      <c r="Q95" s="57">
        <f t="shared" si="18"/>
        <v>59.2970238095238</v>
      </c>
      <c r="R95" s="58">
        <v>65</v>
      </c>
      <c r="S95" s="59" t="s">
        <v>346</v>
      </c>
    </row>
    <row r="96" s="15" customFormat="1" ht="58" spans="1:19">
      <c r="A96" s="90" t="s">
        <v>347</v>
      </c>
      <c r="B96" s="114" t="s">
        <v>348</v>
      </c>
      <c r="C96" s="115" t="s">
        <v>343</v>
      </c>
      <c r="D96" s="114" t="s">
        <v>156</v>
      </c>
      <c r="E96" s="91" t="s">
        <v>344</v>
      </c>
      <c r="F96" s="116" t="s">
        <v>24</v>
      </c>
      <c r="G96" s="117">
        <v>40.48</v>
      </c>
      <c r="H96" s="117">
        <f>34.65+10/1.2</f>
        <v>42.9833333333333</v>
      </c>
      <c r="I96" s="117">
        <v>1.5</v>
      </c>
      <c r="J96" s="117">
        <f t="shared" si="19"/>
        <v>84.9633333333333</v>
      </c>
      <c r="K96" s="79">
        <f t="shared" si="24"/>
        <v>8.49633333333333</v>
      </c>
      <c r="L96" s="118">
        <f t="shared" si="20"/>
        <v>93</v>
      </c>
      <c r="M96" s="119"/>
      <c r="N96" s="57">
        <f t="shared" si="21"/>
        <v>32.6451612903226</v>
      </c>
      <c r="O96" s="57">
        <f t="shared" si="22"/>
        <v>34.6639784946236</v>
      </c>
      <c r="P96" s="57">
        <f t="shared" si="23"/>
        <v>1.20967741935484</v>
      </c>
      <c r="Q96" s="57">
        <f t="shared" si="18"/>
        <v>68.518817204301</v>
      </c>
      <c r="R96" s="58">
        <v>75</v>
      </c>
      <c r="S96" s="98"/>
    </row>
    <row r="97" s="15" customFormat="1" ht="58" spans="1:19">
      <c r="A97" s="90" t="s">
        <v>349</v>
      </c>
      <c r="B97" s="114" t="s">
        <v>350</v>
      </c>
      <c r="C97" s="115" t="s">
        <v>343</v>
      </c>
      <c r="D97" s="114" t="s">
        <v>156</v>
      </c>
      <c r="E97" s="91" t="s">
        <v>344</v>
      </c>
      <c r="F97" s="116" t="s">
        <v>24</v>
      </c>
      <c r="G97" s="117">
        <f>40.48-5/1.2</f>
        <v>36.3133333333333</v>
      </c>
      <c r="H97" s="117">
        <v>34.65</v>
      </c>
      <c r="I97" s="117">
        <v>1.5</v>
      </c>
      <c r="J97" s="117">
        <f t="shared" si="19"/>
        <v>72.4633333333333</v>
      </c>
      <c r="K97" s="79">
        <f t="shared" si="24"/>
        <v>7.24633333333333</v>
      </c>
      <c r="L97" s="118">
        <v>90</v>
      </c>
      <c r="M97" s="119"/>
      <c r="N97" s="57">
        <f t="shared" si="21"/>
        <v>33.0854814814814</v>
      </c>
      <c r="O97" s="57">
        <f t="shared" si="22"/>
        <v>31.57</v>
      </c>
      <c r="P97" s="57">
        <f t="shared" si="23"/>
        <v>1.36666666666667</v>
      </c>
      <c r="Q97" s="57">
        <f t="shared" si="18"/>
        <v>66.0221481481481</v>
      </c>
      <c r="R97" s="58">
        <v>82</v>
      </c>
      <c r="S97" s="98"/>
    </row>
    <row r="98" s="15" customFormat="1" ht="58" spans="1:19">
      <c r="A98" s="90" t="s">
        <v>351</v>
      </c>
      <c r="B98" s="114" t="s">
        <v>352</v>
      </c>
      <c r="C98" s="115" t="s">
        <v>343</v>
      </c>
      <c r="D98" s="114" t="s">
        <v>156</v>
      </c>
      <c r="E98" s="91" t="s">
        <v>344</v>
      </c>
      <c r="F98" s="116" t="s">
        <v>24</v>
      </c>
      <c r="G98" s="117">
        <f>40.48-5/1.2</f>
        <v>36.3133333333333</v>
      </c>
      <c r="H98" s="117">
        <f>34.65+10/1.2</f>
        <v>42.9833333333333</v>
      </c>
      <c r="I98" s="117">
        <v>1.5</v>
      </c>
      <c r="J98" s="117">
        <f t="shared" si="19"/>
        <v>80.7966666666667</v>
      </c>
      <c r="K98" s="79">
        <f t="shared" si="24"/>
        <v>8.07966666666667</v>
      </c>
      <c r="L98" s="118">
        <v>100</v>
      </c>
      <c r="M98" s="119"/>
      <c r="N98" s="57">
        <f t="shared" si="21"/>
        <v>33.4082666666666</v>
      </c>
      <c r="O98" s="57">
        <f t="shared" si="22"/>
        <v>39.5446666666666</v>
      </c>
      <c r="P98" s="57">
        <f t="shared" si="23"/>
        <v>1.38</v>
      </c>
      <c r="Q98" s="57">
        <f t="shared" si="18"/>
        <v>74.3329333333333</v>
      </c>
      <c r="R98" s="58">
        <v>92</v>
      </c>
      <c r="S98" s="98"/>
    </row>
    <row r="99" ht="58" spans="1:19">
      <c r="A99" s="87" t="s">
        <v>353</v>
      </c>
      <c r="B99" s="68" t="s">
        <v>354</v>
      </c>
      <c r="C99" s="63" t="s">
        <v>355</v>
      </c>
      <c r="D99" s="68" t="s">
        <v>156</v>
      </c>
      <c r="E99" s="70" t="s">
        <v>333</v>
      </c>
      <c r="F99" s="69" t="s">
        <v>24</v>
      </c>
      <c r="G99" s="79">
        <v>38.544</v>
      </c>
      <c r="H99" s="79">
        <v>77.385</v>
      </c>
      <c r="I99" s="79">
        <v>3</v>
      </c>
      <c r="J99" s="79">
        <f t="shared" si="19"/>
        <v>118.929</v>
      </c>
      <c r="K99" s="79">
        <f t="shared" si="24"/>
        <v>11.8929</v>
      </c>
      <c r="L99" s="101">
        <f t="shared" ref="L99:L104" si="25">ROUND((J99+K99),0)</f>
        <v>131</v>
      </c>
      <c r="M99" s="105"/>
      <c r="N99" s="57">
        <f t="shared" si="21"/>
        <v>29.4229007633588</v>
      </c>
      <c r="O99" s="57">
        <f t="shared" si="22"/>
        <v>59.0725190839695</v>
      </c>
      <c r="P99" s="57">
        <f t="shared" si="23"/>
        <v>2.29007633587786</v>
      </c>
      <c r="Q99" s="57">
        <f t="shared" si="18"/>
        <v>90.7854961832061</v>
      </c>
      <c r="R99" s="102">
        <v>100</v>
      </c>
      <c r="S99" s="59"/>
    </row>
    <row r="100" ht="87" spans="1:19">
      <c r="A100" s="87" t="s">
        <v>356</v>
      </c>
      <c r="B100" s="68" t="s">
        <v>357</v>
      </c>
      <c r="C100" s="70" t="s">
        <v>358</v>
      </c>
      <c r="D100" s="68" t="s">
        <v>156</v>
      </c>
      <c r="E100" s="63" t="s">
        <v>359</v>
      </c>
      <c r="F100" s="69" t="s">
        <v>24</v>
      </c>
      <c r="G100" s="79">
        <v>109.28</v>
      </c>
      <c r="H100" s="79"/>
      <c r="I100" s="79">
        <v>62.6985</v>
      </c>
      <c r="J100" s="79">
        <f t="shared" si="19"/>
        <v>171.9785</v>
      </c>
      <c r="K100" s="79">
        <f t="shared" si="24"/>
        <v>17.19785</v>
      </c>
      <c r="L100" s="101">
        <f t="shared" si="25"/>
        <v>189</v>
      </c>
      <c r="M100" s="66" t="s">
        <v>360</v>
      </c>
      <c r="N100" s="57">
        <f t="shared" si="21"/>
        <v>109.858201058201</v>
      </c>
      <c r="O100" s="57">
        <f t="shared" si="22"/>
        <v>0</v>
      </c>
      <c r="P100" s="57">
        <f t="shared" si="23"/>
        <v>63.0302380952381</v>
      </c>
      <c r="Q100" s="57">
        <f t="shared" si="18"/>
        <v>172.888439153439</v>
      </c>
      <c r="R100" s="58">
        <v>190</v>
      </c>
      <c r="S100" s="59"/>
    </row>
    <row r="101" ht="101.5" spans="1:19">
      <c r="A101" s="87" t="s">
        <v>361</v>
      </c>
      <c r="B101" s="68" t="s">
        <v>362</v>
      </c>
      <c r="C101" s="70" t="s">
        <v>363</v>
      </c>
      <c r="D101" s="68" t="s">
        <v>156</v>
      </c>
      <c r="E101" s="63" t="s">
        <v>359</v>
      </c>
      <c r="F101" s="69" t="s">
        <v>24</v>
      </c>
      <c r="G101" s="79">
        <v>119.28</v>
      </c>
      <c r="H101" s="79"/>
      <c r="I101" s="79">
        <v>78.6985</v>
      </c>
      <c r="J101" s="79">
        <f t="shared" si="19"/>
        <v>197.9785</v>
      </c>
      <c r="K101" s="79">
        <f t="shared" si="24"/>
        <v>19.79785</v>
      </c>
      <c r="L101" s="101">
        <f t="shared" si="25"/>
        <v>218</v>
      </c>
      <c r="M101" s="66" t="s">
        <v>360</v>
      </c>
      <c r="N101" s="57">
        <f t="shared" si="21"/>
        <v>109.43119266055</v>
      </c>
      <c r="O101" s="57">
        <f t="shared" si="22"/>
        <v>0</v>
      </c>
      <c r="P101" s="57">
        <f t="shared" si="23"/>
        <v>72.2004587155963</v>
      </c>
      <c r="Q101" s="57">
        <f t="shared" si="18"/>
        <v>181.631651376147</v>
      </c>
      <c r="R101" s="102">
        <v>200</v>
      </c>
      <c r="S101" s="59"/>
    </row>
    <row r="102" ht="58" spans="1:19">
      <c r="A102" s="87" t="s">
        <v>364</v>
      </c>
      <c r="B102" s="68" t="s">
        <v>365</v>
      </c>
      <c r="C102" s="63" t="s">
        <v>366</v>
      </c>
      <c r="D102" s="68" t="s">
        <v>156</v>
      </c>
      <c r="E102" s="70" t="s">
        <v>367</v>
      </c>
      <c r="F102" s="69" t="s">
        <v>24</v>
      </c>
      <c r="G102" s="79">
        <v>47.08</v>
      </c>
      <c r="H102" s="79">
        <v>54.3375</v>
      </c>
      <c r="I102" s="79">
        <v>1</v>
      </c>
      <c r="J102" s="79">
        <f t="shared" si="19"/>
        <v>102.4175</v>
      </c>
      <c r="K102" s="79">
        <f t="shared" si="24"/>
        <v>10.24175</v>
      </c>
      <c r="L102" s="101">
        <f t="shared" si="25"/>
        <v>113</v>
      </c>
      <c r="M102" s="105"/>
      <c r="N102" s="57">
        <f t="shared" si="21"/>
        <v>35.4141592920354</v>
      </c>
      <c r="O102" s="57">
        <f t="shared" si="22"/>
        <v>40.8733407079646</v>
      </c>
      <c r="P102" s="57">
        <f t="shared" si="23"/>
        <v>0.752212389380531</v>
      </c>
      <c r="Q102" s="57">
        <f t="shared" si="18"/>
        <v>77.0397123893805</v>
      </c>
      <c r="R102" s="102">
        <v>85</v>
      </c>
      <c r="S102" s="59"/>
    </row>
    <row r="103" ht="87" spans="1:19">
      <c r="A103" s="87" t="s">
        <v>368</v>
      </c>
      <c r="B103" s="70" t="s">
        <v>369</v>
      </c>
      <c r="C103" s="68" t="s">
        <v>370</v>
      </c>
      <c r="D103" s="68" t="s">
        <v>371</v>
      </c>
      <c r="E103" s="70"/>
      <c r="F103" s="69" t="s">
        <v>24</v>
      </c>
      <c r="G103" s="79">
        <v>60.396</v>
      </c>
      <c r="H103" s="79"/>
      <c r="I103" s="79">
        <v>10</v>
      </c>
      <c r="J103" s="79">
        <f t="shared" si="19"/>
        <v>70.396</v>
      </c>
      <c r="K103" s="79">
        <f t="shared" si="24"/>
        <v>7.0396</v>
      </c>
      <c r="L103" s="101">
        <f t="shared" si="25"/>
        <v>77</v>
      </c>
      <c r="M103" s="67"/>
      <c r="N103" s="57">
        <f t="shared" si="21"/>
        <v>39.2181818181818</v>
      </c>
      <c r="O103" s="57">
        <f t="shared" si="22"/>
        <v>0</v>
      </c>
      <c r="P103" s="57">
        <f t="shared" si="23"/>
        <v>6.49350649350649</v>
      </c>
      <c r="Q103" s="57">
        <f t="shared" si="18"/>
        <v>45.7116883116883</v>
      </c>
      <c r="R103" s="102">
        <v>50</v>
      </c>
      <c r="S103" s="59"/>
    </row>
    <row r="104" ht="29" spans="1:19">
      <c r="A104" s="87" t="s">
        <v>372</v>
      </c>
      <c r="B104" s="68" t="s">
        <v>373</v>
      </c>
      <c r="C104" s="69" t="s">
        <v>374</v>
      </c>
      <c r="D104" s="68" t="s">
        <v>185</v>
      </c>
      <c r="E104" s="70" t="s">
        <v>375</v>
      </c>
      <c r="F104" s="69" t="s">
        <v>47</v>
      </c>
      <c r="G104" s="54">
        <v>6.4</v>
      </c>
      <c r="H104" s="54"/>
      <c r="I104" s="79">
        <v>11.5</v>
      </c>
      <c r="J104" s="54">
        <f t="shared" si="19"/>
        <v>17.9</v>
      </c>
      <c r="K104" s="79">
        <f t="shared" si="24"/>
        <v>1.79</v>
      </c>
      <c r="L104" s="101">
        <f t="shared" si="25"/>
        <v>20</v>
      </c>
      <c r="M104" s="67"/>
      <c r="N104" s="57">
        <f t="shared" si="21"/>
        <v>4.8</v>
      </c>
      <c r="O104" s="57">
        <f t="shared" si="22"/>
        <v>0</v>
      </c>
      <c r="P104" s="57">
        <f t="shared" si="23"/>
        <v>8.625</v>
      </c>
      <c r="Q104" s="57">
        <f t="shared" si="18"/>
        <v>13.425</v>
      </c>
      <c r="R104" s="58">
        <v>15</v>
      </c>
      <c r="S104" s="59"/>
    </row>
    <row r="105" ht="43.5" spans="1:19">
      <c r="A105" s="87" t="s">
        <v>376</v>
      </c>
      <c r="B105" s="68" t="s">
        <v>377</v>
      </c>
      <c r="C105" s="70" t="s">
        <v>378</v>
      </c>
      <c r="D105" s="68" t="s">
        <v>185</v>
      </c>
      <c r="E105" s="70" t="s">
        <v>379</v>
      </c>
      <c r="F105" s="70" t="s">
        <v>380</v>
      </c>
      <c r="G105" s="70"/>
      <c r="H105" s="70"/>
      <c r="I105" s="70"/>
      <c r="J105" s="70"/>
      <c r="K105" s="70"/>
      <c r="L105" s="101"/>
      <c r="M105" s="99" t="s">
        <v>381</v>
      </c>
      <c r="N105" s="57"/>
      <c r="O105" s="57"/>
      <c r="P105" s="57"/>
      <c r="Q105" s="57">
        <f t="shared" si="18"/>
        <v>0</v>
      </c>
      <c r="R105" s="58"/>
      <c r="S105" s="59"/>
    </row>
    <row r="106" ht="170.25" customHeight="1" spans="1:19">
      <c r="A106" s="87" t="s">
        <v>382</v>
      </c>
      <c r="B106" s="63" t="s">
        <v>383</v>
      </c>
      <c r="C106" s="120" t="s">
        <v>384</v>
      </c>
      <c r="D106" s="112" t="s">
        <v>185</v>
      </c>
      <c r="E106" s="64" t="s">
        <v>309</v>
      </c>
      <c r="F106" s="70" t="s">
        <v>385</v>
      </c>
      <c r="G106" s="70"/>
      <c r="H106" s="70"/>
      <c r="I106" s="70"/>
      <c r="J106" s="70"/>
      <c r="K106" s="70"/>
      <c r="L106" s="101"/>
      <c r="M106" s="89" t="s">
        <v>386</v>
      </c>
      <c r="N106" s="57"/>
      <c r="O106" s="57"/>
      <c r="P106" s="57"/>
      <c r="Q106" s="57">
        <f t="shared" si="18"/>
        <v>0</v>
      </c>
      <c r="R106" s="58"/>
      <c r="S106" s="59"/>
    </row>
    <row r="107" s="15" customFormat="1" ht="29" spans="1:19">
      <c r="A107" s="90" t="s">
        <v>387</v>
      </c>
      <c r="B107" s="115" t="s">
        <v>383</v>
      </c>
      <c r="C107" s="121" t="s">
        <v>388</v>
      </c>
      <c r="D107" s="122"/>
      <c r="E107" s="123" t="s">
        <v>309</v>
      </c>
      <c r="F107" s="116" t="s">
        <v>47</v>
      </c>
      <c r="G107" s="124">
        <f>15/1.2</f>
        <v>12.5</v>
      </c>
      <c r="H107" s="125"/>
      <c r="I107" s="125"/>
      <c r="J107" s="124">
        <f>G107+H107+I107</f>
        <v>12.5</v>
      </c>
      <c r="K107" s="117">
        <f>J107*0.1</f>
        <v>1.25</v>
      </c>
      <c r="L107" s="118">
        <f>ROUND((J107+K107),0)</f>
        <v>14</v>
      </c>
      <c r="M107" s="97"/>
      <c r="N107" s="57">
        <f>+R107/L107*G107</f>
        <v>10.7142857142857</v>
      </c>
      <c r="O107" s="57">
        <f>+R107/L107*H107</f>
        <v>0</v>
      </c>
      <c r="P107" s="57">
        <f>+R107/L107*I107</f>
        <v>0</v>
      </c>
      <c r="Q107" s="57">
        <f t="shared" si="18"/>
        <v>10.7142857142857</v>
      </c>
      <c r="R107" s="58">
        <v>12</v>
      </c>
      <c r="S107" s="98"/>
    </row>
    <row r="108" s="15" customFormat="1" ht="29" spans="1:19">
      <c r="A108" s="90" t="s">
        <v>389</v>
      </c>
      <c r="B108" s="115" t="s">
        <v>383</v>
      </c>
      <c r="C108" s="121" t="s">
        <v>390</v>
      </c>
      <c r="D108" s="122"/>
      <c r="E108" s="123" t="s">
        <v>309</v>
      </c>
      <c r="F108" s="116" t="s">
        <v>47</v>
      </c>
      <c r="G108" s="124">
        <f>17/1.2</f>
        <v>14.1666666666667</v>
      </c>
      <c r="H108" s="125"/>
      <c r="I108" s="125"/>
      <c r="J108" s="124">
        <f>G108+H108+I108</f>
        <v>14.1666666666667</v>
      </c>
      <c r="K108" s="117">
        <f>J108*0.1</f>
        <v>1.41666666666667</v>
      </c>
      <c r="L108" s="118">
        <f>ROUND((J108+K108),0)</f>
        <v>16</v>
      </c>
      <c r="M108" s="97"/>
      <c r="N108" s="57">
        <f>+R108/L108*G108</f>
        <v>13.28125</v>
      </c>
      <c r="O108" s="57">
        <f>+R108/L108*H108</f>
        <v>0</v>
      </c>
      <c r="P108" s="57">
        <f>+R108/L108*I108</f>
        <v>0</v>
      </c>
      <c r="Q108" s="57">
        <f t="shared" si="18"/>
        <v>13.28125</v>
      </c>
      <c r="R108" s="58">
        <v>15</v>
      </c>
      <c r="S108" s="98"/>
    </row>
    <row r="109" s="15" customFormat="1" ht="29" spans="1:19">
      <c r="A109" s="90" t="s">
        <v>391</v>
      </c>
      <c r="B109" s="115" t="s">
        <v>383</v>
      </c>
      <c r="C109" s="121" t="s">
        <v>392</v>
      </c>
      <c r="D109" s="122"/>
      <c r="E109" s="123" t="s">
        <v>309</v>
      </c>
      <c r="F109" s="116" t="s">
        <v>47</v>
      </c>
      <c r="G109" s="124">
        <f>20/1.2</f>
        <v>16.6666666666667</v>
      </c>
      <c r="H109" s="125"/>
      <c r="I109" s="125"/>
      <c r="J109" s="124">
        <f>G109+H109+I109</f>
        <v>16.6666666666667</v>
      </c>
      <c r="K109" s="117">
        <f>J109*0.1</f>
        <v>1.66666666666667</v>
      </c>
      <c r="L109" s="118">
        <f>ROUND((J109+K109),0)</f>
        <v>18</v>
      </c>
      <c r="M109" s="97"/>
      <c r="N109" s="57">
        <f>+R109/L109*G109</f>
        <v>18.5185185185186</v>
      </c>
      <c r="O109" s="57">
        <f>+R109/L109*H109</f>
        <v>0</v>
      </c>
      <c r="P109" s="57">
        <f>+R109/L109*I109</f>
        <v>0</v>
      </c>
      <c r="Q109" s="57">
        <f t="shared" si="18"/>
        <v>18.5185185185186</v>
      </c>
      <c r="R109" s="58">
        <v>20</v>
      </c>
      <c r="S109" s="98"/>
    </row>
    <row r="110" s="15" customFormat="1" ht="29" spans="1:19">
      <c r="A110" s="90" t="s">
        <v>393</v>
      </c>
      <c r="B110" s="115" t="s">
        <v>383</v>
      </c>
      <c r="C110" s="121" t="s">
        <v>394</v>
      </c>
      <c r="D110" s="122"/>
      <c r="E110" s="123" t="s">
        <v>309</v>
      </c>
      <c r="F110" s="116" t="s">
        <v>47</v>
      </c>
      <c r="G110" s="124">
        <f>22/1.2</f>
        <v>18.3333333333333</v>
      </c>
      <c r="H110" s="125"/>
      <c r="I110" s="125"/>
      <c r="J110" s="124">
        <f>G110+H110+I110</f>
        <v>18.3333333333333</v>
      </c>
      <c r="K110" s="117">
        <f>J110*0.1</f>
        <v>1.83333333333333</v>
      </c>
      <c r="L110" s="118">
        <f>ROUND((J110+K110),0)</f>
        <v>20</v>
      </c>
      <c r="M110" s="97"/>
      <c r="N110" s="57">
        <f>+R110/L110*G110</f>
        <v>21.0833333333333</v>
      </c>
      <c r="O110" s="57">
        <f>+R110/L110*H110</f>
        <v>0</v>
      </c>
      <c r="P110" s="57">
        <f>+R110/L110*I110</f>
        <v>0</v>
      </c>
      <c r="Q110" s="57">
        <f t="shared" si="18"/>
        <v>21.0833333333333</v>
      </c>
      <c r="R110" s="58">
        <v>23</v>
      </c>
      <c r="S110" s="98"/>
    </row>
    <row r="111" s="15" customFormat="1" ht="29" spans="1:19">
      <c r="A111" s="90" t="s">
        <v>395</v>
      </c>
      <c r="B111" s="115" t="s">
        <v>383</v>
      </c>
      <c r="C111" s="121" t="s">
        <v>396</v>
      </c>
      <c r="D111" s="122"/>
      <c r="E111" s="123" t="s">
        <v>309</v>
      </c>
      <c r="F111" s="126" t="s">
        <v>397</v>
      </c>
      <c r="G111" s="126"/>
      <c r="H111" s="126"/>
      <c r="I111" s="126"/>
      <c r="J111" s="126"/>
      <c r="K111" s="126"/>
      <c r="L111" s="118"/>
      <c r="M111" s="97"/>
      <c r="N111" s="57"/>
      <c r="O111" s="57"/>
      <c r="P111" s="57"/>
      <c r="Q111" s="57">
        <f t="shared" si="18"/>
        <v>0</v>
      </c>
      <c r="R111" s="127"/>
      <c r="S111" s="98"/>
    </row>
    <row r="112" ht="14.5" spans="1:19">
      <c r="A112" s="106" t="s">
        <v>398</v>
      </c>
      <c r="B112" s="107" t="s">
        <v>399</v>
      </c>
      <c r="C112" s="108"/>
      <c r="D112" s="128"/>
      <c r="E112" s="128"/>
      <c r="F112" s="128"/>
      <c r="G112" s="128"/>
      <c r="H112" s="128"/>
      <c r="I112" s="128"/>
      <c r="J112" s="128"/>
      <c r="K112" s="128"/>
      <c r="L112" s="128"/>
      <c r="M112" s="129"/>
      <c r="N112" s="57"/>
      <c r="O112" s="57"/>
      <c r="P112" s="57"/>
      <c r="Q112" s="57">
        <f t="shared" si="18"/>
        <v>0</v>
      </c>
      <c r="R112" s="58"/>
      <c r="S112" s="59"/>
    </row>
    <row r="113" ht="83.25" customHeight="1" spans="1:19">
      <c r="A113" s="87" t="s">
        <v>400</v>
      </c>
      <c r="B113" s="63" t="s">
        <v>401</v>
      </c>
      <c r="C113" s="63" t="s">
        <v>402</v>
      </c>
      <c r="D113" s="68" t="s">
        <v>185</v>
      </c>
      <c r="E113" s="63" t="s">
        <v>403</v>
      </c>
      <c r="F113" s="70" t="s">
        <v>404</v>
      </c>
      <c r="G113" s="70"/>
      <c r="H113" s="70"/>
      <c r="I113" s="70"/>
      <c r="J113" s="70"/>
      <c r="K113" s="70"/>
      <c r="L113" s="101"/>
      <c r="M113" s="99"/>
      <c r="N113" s="57"/>
      <c r="O113" s="57"/>
      <c r="P113" s="57"/>
      <c r="Q113" s="57">
        <f t="shared" si="18"/>
        <v>0</v>
      </c>
      <c r="R113" s="58"/>
      <c r="S113" s="59"/>
    </row>
    <row r="114" s="15" customFormat="1" ht="29" spans="1:19">
      <c r="A114" s="90" t="s">
        <v>405</v>
      </c>
      <c r="B114" s="115" t="s">
        <v>401</v>
      </c>
      <c r="C114" s="115" t="s">
        <v>406</v>
      </c>
      <c r="D114" s="114" t="s">
        <v>185</v>
      </c>
      <c r="E114" s="115" t="s">
        <v>403</v>
      </c>
      <c r="F114" s="116" t="s">
        <v>47</v>
      </c>
      <c r="G114" s="117">
        <f>20/1.2</f>
        <v>16.6666666666667</v>
      </c>
      <c r="H114" s="125"/>
      <c r="I114" s="125"/>
      <c r="J114" s="124">
        <f>G114+H114+I114</f>
        <v>16.6666666666667</v>
      </c>
      <c r="K114" s="117">
        <f>J114*0.1</f>
        <v>1.66666666666667</v>
      </c>
      <c r="L114" s="118">
        <f>ROUND((J114+K114),0)</f>
        <v>18</v>
      </c>
      <c r="M114" s="130"/>
      <c r="N114" s="57">
        <f>+R114/L114*G114</f>
        <v>14.8148148148148</v>
      </c>
      <c r="O114" s="57">
        <f>+R114/L114*H114</f>
        <v>0</v>
      </c>
      <c r="P114" s="57">
        <f>+R114/L114*I114</f>
        <v>0</v>
      </c>
      <c r="Q114" s="57">
        <f t="shared" si="18"/>
        <v>14.8148148148148</v>
      </c>
      <c r="R114" s="102">
        <v>16</v>
      </c>
      <c r="S114" s="98"/>
    </row>
    <row r="115" s="15" customFormat="1" ht="43.5" spans="1:19">
      <c r="A115" s="90" t="s">
        <v>407</v>
      </c>
      <c r="B115" s="115" t="s">
        <v>401</v>
      </c>
      <c r="C115" s="115" t="s">
        <v>408</v>
      </c>
      <c r="D115" s="114" t="s">
        <v>185</v>
      </c>
      <c r="E115" s="115" t="s">
        <v>403</v>
      </c>
      <c r="F115" s="116" t="s">
        <v>47</v>
      </c>
      <c r="G115" s="117">
        <f>25/1.2</f>
        <v>20.8333333333333</v>
      </c>
      <c r="H115" s="125"/>
      <c r="I115" s="125"/>
      <c r="J115" s="124">
        <f>G115+H115+I115</f>
        <v>20.8333333333333</v>
      </c>
      <c r="K115" s="117">
        <f>J115*0.1</f>
        <v>2.08333333333333</v>
      </c>
      <c r="L115" s="118">
        <f>ROUND((J115+K115),0)</f>
        <v>23</v>
      </c>
      <c r="M115" s="130"/>
      <c r="N115" s="57">
        <f>+R115/L115*G115</f>
        <v>18.1159420289855</v>
      </c>
      <c r="O115" s="57">
        <f>+R115/L115*H115</f>
        <v>0</v>
      </c>
      <c r="P115" s="57">
        <f>+R115/L115*I115</f>
        <v>0</v>
      </c>
      <c r="Q115" s="57">
        <f t="shared" si="18"/>
        <v>18.1159420289855</v>
      </c>
      <c r="R115" s="102">
        <v>20</v>
      </c>
      <c r="S115" s="98"/>
    </row>
    <row r="116" s="15" customFormat="1" ht="33" customHeight="1" spans="1:19">
      <c r="A116" s="90" t="s">
        <v>409</v>
      </c>
      <c r="B116" s="115" t="s">
        <v>401</v>
      </c>
      <c r="C116" s="115" t="s">
        <v>410</v>
      </c>
      <c r="D116" s="114" t="s">
        <v>185</v>
      </c>
      <c r="E116" s="115" t="s">
        <v>403</v>
      </c>
      <c r="F116" s="126" t="s">
        <v>411</v>
      </c>
      <c r="G116" s="126"/>
      <c r="H116" s="126"/>
      <c r="I116" s="126"/>
      <c r="J116" s="126"/>
      <c r="K116" s="126"/>
      <c r="L116" s="118"/>
      <c r="M116" s="130"/>
      <c r="N116" s="57"/>
      <c r="O116" s="57"/>
      <c r="P116" s="57"/>
      <c r="Q116" s="57">
        <f t="shared" si="18"/>
        <v>0</v>
      </c>
      <c r="R116" s="127"/>
      <c r="S116" s="98"/>
    </row>
    <row r="117" ht="58" spans="1:19">
      <c r="A117" s="87" t="s">
        <v>412</v>
      </c>
      <c r="B117" s="68" t="s">
        <v>413</v>
      </c>
      <c r="C117" s="63" t="s">
        <v>414</v>
      </c>
      <c r="D117" s="68" t="s">
        <v>156</v>
      </c>
      <c r="E117" s="63" t="s">
        <v>96</v>
      </c>
      <c r="F117" s="69" t="s">
        <v>24</v>
      </c>
      <c r="G117" s="79">
        <v>53.295</v>
      </c>
      <c r="H117" s="79"/>
      <c r="I117" s="54">
        <v>10</v>
      </c>
      <c r="J117" s="79">
        <f t="shared" ref="J117:J130" si="26">G117+H117+I117</f>
        <v>63.295</v>
      </c>
      <c r="K117" s="79">
        <f>J117*0.1</f>
        <v>6.3295</v>
      </c>
      <c r="L117" s="101">
        <f t="shared" ref="L117:L130" si="27">ROUND((J117+K117),0)</f>
        <v>70</v>
      </c>
      <c r="M117" s="56" t="s">
        <v>415</v>
      </c>
      <c r="N117" s="57">
        <f t="shared" ref="N117:N130" si="28">+R117/L117*G117</f>
        <v>44.9200714285714</v>
      </c>
      <c r="O117" s="57">
        <f t="shared" ref="O117:O130" si="29">+R117/L117*H117</f>
        <v>0</v>
      </c>
      <c r="P117" s="57">
        <f t="shared" ref="P117:P130" si="30">+R117/L117*I117</f>
        <v>8.42857142857143</v>
      </c>
      <c r="Q117" s="57">
        <f t="shared" si="18"/>
        <v>53.3486428571429</v>
      </c>
      <c r="R117" s="58">
        <v>59</v>
      </c>
      <c r="S117" s="59" t="s">
        <v>416</v>
      </c>
    </row>
    <row r="118" ht="58" spans="1:19">
      <c r="A118" s="87" t="s">
        <v>417</v>
      </c>
      <c r="B118" s="68" t="s">
        <v>418</v>
      </c>
      <c r="C118" s="63" t="s">
        <v>419</v>
      </c>
      <c r="D118" s="68" t="s">
        <v>156</v>
      </c>
      <c r="E118" s="63" t="s">
        <v>96</v>
      </c>
      <c r="F118" s="69" t="s">
        <v>24</v>
      </c>
      <c r="G118" s="79">
        <v>56.1</v>
      </c>
      <c r="H118" s="79"/>
      <c r="I118" s="54">
        <v>10</v>
      </c>
      <c r="J118" s="79">
        <f t="shared" si="26"/>
        <v>66.1</v>
      </c>
      <c r="K118" s="79">
        <f t="shared" ref="K118:K130" si="31">J118*0.1</f>
        <v>6.61</v>
      </c>
      <c r="L118" s="101">
        <f t="shared" si="27"/>
        <v>73</v>
      </c>
      <c r="M118" s="56" t="s">
        <v>415</v>
      </c>
      <c r="N118" s="57">
        <f t="shared" si="28"/>
        <v>47.6465753424658</v>
      </c>
      <c r="O118" s="57">
        <f t="shared" si="29"/>
        <v>0</v>
      </c>
      <c r="P118" s="57">
        <f t="shared" si="30"/>
        <v>8.49315068493151</v>
      </c>
      <c r="Q118" s="57">
        <f t="shared" si="18"/>
        <v>56.1397260273973</v>
      </c>
      <c r="R118" s="58">
        <v>62</v>
      </c>
      <c r="S118" s="59" t="s">
        <v>416</v>
      </c>
    </row>
    <row r="119" ht="29" spans="1:19">
      <c r="A119" s="87" t="s">
        <v>420</v>
      </c>
      <c r="B119" s="68" t="s">
        <v>421</v>
      </c>
      <c r="C119" s="63" t="s">
        <v>422</v>
      </c>
      <c r="D119" s="68"/>
      <c r="E119" s="63" t="s">
        <v>422</v>
      </c>
      <c r="F119" s="69" t="s">
        <v>24</v>
      </c>
      <c r="G119" s="79">
        <v>5.61</v>
      </c>
      <c r="H119" s="79"/>
      <c r="I119" s="54">
        <v>2.63</v>
      </c>
      <c r="J119" s="79">
        <f t="shared" si="26"/>
        <v>8.24</v>
      </c>
      <c r="K119" s="79">
        <f t="shared" si="31"/>
        <v>0.824</v>
      </c>
      <c r="L119" s="101">
        <f t="shared" si="27"/>
        <v>9</v>
      </c>
      <c r="M119" s="67"/>
      <c r="N119" s="57">
        <f t="shared" si="28"/>
        <v>4.98666666666667</v>
      </c>
      <c r="O119" s="57">
        <f t="shared" si="29"/>
        <v>0</v>
      </c>
      <c r="P119" s="57">
        <f t="shared" si="30"/>
        <v>2.33777777777778</v>
      </c>
      <c r="Q119" s="57">
        <f t="shared" si="18"/>
        <v>7.32444444444444</v>
      </c>
      <c r="R119" s="58">
        <v>8</v>
      </c>
      <c r="S119" s="59"/>
    </row>
    <row r="120" ht="58" spans="1:19">
      <c r="A120" s="87" t="s">
        <v>423</v>
      </c>
      <c r="B120" s="68" t="s">
        <v>424</v>
      </c>
      <c r="C120" s="63" t="s">
        <v>414</v>
      </c>
      <c r="D120" s="68" t="s">
        <v>156</v>
      </c>
      <c r="E120" s="63" t="s">
        <v>96</v>
      </c>
      <c r="F120" s="69" t="s">
        <v>24</v>
      </c>
      <c r="G120" s="79">
        <v>67.4843333333334</v>
      </c>
      <c r="H120" s="79"/>
      <c r="I120" s="54">
        <v>10</v>
      </c>
      <c r="J120" s="79">
        <f t="shared" si="26"/>
        <v>77.4843333333334</v>
      </c>
      <c r="K120" s="79">
        <f t="shared" si="31"/>
        <v>7.74843333333334</v>
      </c>
      <c r="L120" s="101">
        <f t="shared" si="27"/>
        <v>85</v>
      </c>
      <c r="M120" s="56" t="s">
        <v>415</v>
      </c>
      <c r="N120" s="57">
        <f t="shared" si="28"/>
        <v>57.1632000000001</v>
      </c>
      <c r="O120" s="57">
        <f t="shared" si="29"/>
        <v>0</v>
      </c>
      <c r="P120" s="57">
        <f t="shared" si="30"/>
        <v>8.47058823529412</v>
      </c>
      <c r="Q120" s="57">
        <f t="shared" si="18"/>
        <v>65.6337882352942</v>
      </c>
      <c r="R120" s="102">
        <v>72</v>
      </c>
      <c r="S120" s="59" t="s">
        <v>416</v>
      </c>
    </row>
    <row r="121" ht="43.5" spans="1:19">
      <c r="A121" s="87" t="s">
        <v>425</v>
      </c>
      <c r="B121" s="68" t="s">
        <v>426</v>
      </c>
      <c r="C121" s="63" t="s">
        <v>427</v>
      </c>
      <c r="D121" s="68" t="s">
        <v>156</v>
      </c>
      <c r="E121" s="63" t="s">
        <v>428</v>
      </c>
      <c r="F121" s="69" t="s">
        <v>24</v>
      </c>
      <c r="G121" s="79">
        <v>60.5466333333333</v>
      </c>
      <c r="H121" s="79"/>
      <c r="I121" s="54">
        <v>10</v>
      </c>
      <c r="J121" s="79">
        <f t="shared" si="26"/>
        <v>70.5466333333333</v>
      </c>
      <c r="K121" s="79">
        <f t="shared" si="31"/>
        <v>7.05466333333333</v>
      </c>
      <c r="L121" s="101">
        <f t="shared" si="27"/>
        <v>78</v>
      </c>
      <c r="M121" s="56" t="s">
        <v>415</v>
      </c>
      <c r="N121" s="57">
        <f t="shared" si="28"/>
        <v>50.4555277777777</v>
      </c>
      <c r="O121" s="57">
        <f t="shared" si="29"/>
        <v>0</v>
      </c>
      <c r="P121" s="57">
        <f t="shared" si="30"/>
        <v>8.33333333333333</v>
      </c>
      <c r="Q121" s="57">
        <f t="shared" si="18"/>
        <v>58.7888611111111</v>
      </c>
      <c r="R121" s="58">
        <v>65</v>
      </c>
      <c r="S121" s="59" t="s">
        <v>416</v>
      </c>
    </row>
    <row r="122" ht="58" spans="1:19">
      <c r="A122" s="87" t="s">
        <v>429</v>
      </c>
      <c r="B122" s="68" t="s">
        <v>430</v>
      </c>
      <c r="C122" s="63" t="s">
        <v>431</v>
      </c>
      <c r="D122" s="68" t="s">
        <v>156</v>
      </c>
      <c r="E122" s="63" t="s">
        <v>432</v>
      </c>
      <c r="F122" s="69" t="s">
        <v>24</v>
      </c>
      <c r="G122" s="79">
        <v>59.84</v>
      </c>
      <c r="H122" s="79"/>
      <c r="I122" s="54">
        <v>11</v>
      </c>
      <c r="J122" s="79">
        <f t="shared" si="26"/>
        <v>70.84</v>
      </c>
      <c r="K122" s="79">
        <f t="shared" si="31"/>
        <v>7.084</v>
      </c>
      <c r="L122" s="101">
        <f t="shared" si="27"/>
        <v>78</v>
      </c>
      <c r="M122" s="56" t="s">
        <v>415</v>
      </c>
      <c r="N122" s="57">
        <f t="shared" si="28"/>
        <v>49.8666666666667</v>
      </c>
      <c r="O122" s="57">
        <f t="shared" si="29"/>
        <v>0</v>
      </c>
      <c r="P122" s="57">
        <f t="shared" si="30"/>
        <v>9.16666666666667</v>
      </c>
      <c r="Q122" s="57">
        <f t="shared" si="18"/>
        <v>59.0333333333333</v>
      </c>
      <c r="R122" s="58">
        <v>65</v>
      </c>
      <c r="S122" s="59" t="s">
        <v>433</v>
      </c>
    </row>
    <row r="123" ht="58" spans="1:19">
      <c r="A123" s="87" t="s">
        <v>434</v>
      </c>
      <c r="B123" s="68" t="s">
        <v>435</v>
      </c>
      <c r="C123" s="63" t="s">
        <v>436</v>
      </c>
      <c r="D123" s="68" t="s">
        <v>156</v>
      </c>
      <c r="E123" s="63" t="s">
        <v>437</v>
      </c>
      <c r="F123" s="69" t="s">
        <v>24</v>
      </c>
      <c r="G123" s="79">
        <v>75.2488</v>
      </c>
      <c r="H123" s="79"/>
      <c r="I123" s="54">
        <v>17</v>
      </c>
      <c r="J123" s="79">
        <f t="shared" si="26"/>
        <v>92.2488</v>
      </c>
      <c r="K123" s="79">
        <f t="shared" si="31"/>
        <v>9.22488</v>
      </c>
      <c r="L123" s="101">
        <f t="shared" si="27"/>
        <v>101</v>
      </c>
      <c r="M123" s="105"/>
      <c r="N123" s="57">
        <f t="shared" si="28"/>
        <v>63.328198019802</v>
      </c>
      <c r="O123" s="57">
        <f t="shared" si="29"/>
        <v>0</v>
      </c>
      <c r="P123" s="57">
        <f t="shared" si="30"/>
        <v>14.3069306930693</v>
      </c>
      <c r="Q123" s="57">
        <f t="shared" si="18"/>
        <v>77.6351287128713</v>
      </c>
      <c r="R123" s="58">
        <v>85</v>
      </c>
      <c r="S123" s="59"/>
    </row>
    <row r="124" ht="58" spans="1:19">
      <c r="A124" s="87" t="s">
        <v>438</v>
      </c>
      <c r="B124" s="68" t="s">
        <v>439</v>
      </c>
      <c r="C124" s="63" t="s">
        <v>440</v>
      </c>
      <c r="D124" s="68" t="s">
        <v>156</v>
      </c>
      <c r="E124" s="63"/>
      <c r="F124" s="69" t="s">
        <v>24</v>
      </c>
      <c r="G124" s="79">
        <v>93.5</v>
      </c>
      <c r="H124" s="79"/>
      <c r="I124" s="79">
        <v>4.6537942</v>
      </c>
      <c r="J124" s="79">
        <f t="shared" si="26"/>
        <v>98.1537942</v>
      </c>
      <c r="K124" s="79">
        <f t="shared" si="31"/>
        <v>9.81537942</v>
      </c>
      <c r="L124" s="101">
        <f t="shared" si="27"/>
        <v>108</v>
      </c>
      <c r="M124" s="67"/>
      <c r="N124" s="57">
        <f t="shared" si="28"/>
        <v>77.9166666666667</v>
      </c>
      <c r="O124" s="57">
        <f t="shared" si="29"/>
        <v>0</v>
      </c>
      <c r="P124" s="57">
        <f t="shared" si="30"/>
        <v>3.87816183333333</v>
      </c>
      <c r="Q124" s="57">
        <f t="shared" si="18"/>
        <v>81.7948285</v>
      </c>
      <c r="R124" s="58">
        <v>90</v>
      </c>
      <c r="S124" s="59"/>
    </row>
    <row r="125" ht="87" spans="1:19">
      <c r="A125" s="87" t="s">
        <v>441</v>
      </c>
      <c r="B125" s="68" t="s">
        <v>442</v>
      </c>
      <c r="C125" s="63" t="s">
        <v>443</v>
      </c>
      <c r="D125" s="68" t="s">
        <v>156</v>
      </c>
      <c r="E125" s="63" t="s">
        <v>444</v>
      </c>
      <c r="F125" s="69" t="s">
        <v>24</v>
      </c>
      <c r="G125" s="79">
        <v>56.1</v>
      </c>
      <c r="H125" s="79"/>
      <c r="I125" s="79">
        <v>5</v>
      </c>
      <c r="J125" s="79">
        <f t="shared" si="26"/>
        <v>61.1</v>
      </c>
      <c r="K125" s="79">
        <f t="shared" si="31"/>
        <v>6.11</v>
      </c>
      <c r="L125" s="101">
        <f t="shared" si="27"/>
        <v>67</v>
      </c>
      <c r="M125" s="67" t="s">
        <v>445</v>
      </c>
      <c r="N125" s="57">
        <f t="shared" si="28"/>
        <v>36.8417910447761</v>
      </c>
      <c r="O125" s="57">
        <f t="shared" si="29"/>
        <v>0</v>
      </c>
      <c r="P125" s="57">
        <f t="shared" si="30"/>
        <v>3.28358208955224</v>
      </c>
      <c r="Q125" s="57">
        <f t="shared" si="18"/>
        <v>40.1253731343284</v>
      </c>
      <c r="R125" s="58">
        <v>44</v>
      </c>
      <c r="S125" s="59" t="s">
        <v>446</v>
      </c>
    </row>
    <row r="126" ht="58" spans="1:19">
      <c r="A126" s="87" t="s">
        <v>447</v>
      </c>
      <c r="B126" s="68" t="s">
        <v>448</v>
      </c>
      <c r="C126" s="63" t="s">
        <v>449</v>
      </c>
      <c r="D126" s="68" t="s">
        <v>156</v>
      </c>
      <c r="E126" s="63" t="s">
        <v>450</v>
      </c>
      <c r="F126" s="69" t="s">
        <v>24</v>
      </c>
      <c r="G126" s="79">
        <v>32.04245</v>
      </c>
      <c r="H126" s="79">
        <v>25.76574</v>
      </c>
      <c r="I126" s="54">
        <v>6</v>
      </c>
      <c r="J126" s="79">
        <f t="shared" si="26"/>
        <v>63.80819</v>
      </c>
      <c r="K126" s="79">
        <f t="shared" si="31"/>
        <v>6.380819</v>
      </c>
      <c r="L126" s="101">
        <f t="shared" si="27"/>
        <v>70</v>
      </c>
      <c r="M126" s="105"/>
      <c r="N126" s="57">
        <f t="shared" si="28"/>
        <v>19.7747691428571</v>
      </c>
      <c r="O126" s="57">
        <f t="shared" si="29"/>
        <v>15.9011424</v>
      </c>
      <c r="P126" s="57">
        <f t="shared" si="30"/>
        <v>3.70285714285714</v>
      </c>
      <c r="Q126" s="57">
        <f t="shared" si="18"/>
        <v>39.3787686857143</v>
      </c>
      <c r="R126" s="58">
        <v>43.2</v>
      </c>
      <c r="S126" s="59"/>
    </row>
    <row r="127" ht="58" spans="1:19">
      <c r="A127" s="87" t="s">
        <v>451</v>
      </c>
      <c r="B127" s="68" t="s">
        <v>448</v>
      </c>
      <c r="C127" s="63" t="s">
        <v>452</v>
      </c>
      <c r="D127" s="68" t="s">
        <v>156</v>
      </c>
      <c r="E127" s="63" t="s">
        <v>450</v>
      </c>
      <c r="F127" s="69" t="s">
        <v>24</v>
      </c>
      <c r="G127" s="79">
        <v>39.9245</v>
      </c>
      <c r="H127" s="79">
        <v>34.1586</v>
      </c>
      <c r="I127" s="54">
        <v>10</v>
      </c>
      <c r="J127" s="79">
        <f t="shared" si="26"/>
        <v>84.0831</v>
      </c>
      <c r="K127" s="79">
        <f t="shared" si="31"/>
        <v>8.40831</v>
      </c>
      <c r="L127" s="101">
        <f t="shared" si="27"/>
        <v>92</v>
      </c>
      <c r="M127" s="105"/>
      <c r="N127" s="57">
        <f t="shared" si="28"/>
        <v>28.1207347826087</v>
      </c>
      <c r="O127" s="57">
        <f t="shared" si="29"/>
        <v>24.0595356521739</v>
      </c>
      <c r="P127" s="57">
        <f t="shared" si="30"/>
        <v>7.04347826086956</v>
      </c>
      <c r="Q127" s="57">
        <f t="shared" si="18"/>
        <v>59.2237486956522</v>
      </c>
      <c r="R127" s="58">
        <v>64.8</v>
      </c>
      <c r="S127" s="59"/>
    </row>
    <row r="128" ht="29" spans="1:19">
      <c r="A128" s="87" t="s">
        <v>453</v>
      </c>
      <c r="B128" s="68" t="s">
        <v>454</v>
      </c>
      <c r="C128" s="69" t="s">
        <v>455</v>
      </c>
      <c r="D128" s="68" t="s">
        <v>156</v>
      </c>
      <c r="E128" s="63" t="s">
        <v>456</v>
      </c>
      <c r="F128" s="69" t="s">
        <v>24</v>
      </c>
      <c r="G128" s="79">
        <v>17.06936</v>
      </c>
      <c r="H128" s="79"/>
      <c r="I128" s="54">
        <v>6.401400093</v>
      </c>
      <c r="J128" s="79">
        <f t="shared" si="26"/>
        <v>23.470760093</v>
      </c>
      <c r="K128" s="79">
        <f t="shared" si="31"/>
        <v>2.3470760093</v>
      </c>
      <c r="L128" s="101">
        <f t="shared" si="27"/>
        <v>26</v>
      </c>
      <c r="M128" s="105"/>
      <c r="N128" s="57">
        <f t="shared" si="28"/>
        <v>15.0998184615385</v>
      </c>
      <c r="O128" s="57">
        <f t="shared" si="29"/>
        <v>0</v>
      </c>
      <c r="P128" s="57">
        <f t="shared" si="30"/>
        <v>5.66277700534615</v>
      </c>
      <c r="Q128" s="57">
        <f t="shared" si="18"/>
        <v>20.7625954668846</v>
      </c>
      <c r="R128" s="58">
        <v>23</v>
      </c>
      <c r="S128" s="59"/>
    </row>
    <row r="129" ht="43.5" spans="1:19">
      <c r="A129" s="87" t="s">
        <v>457</v>
      </c>
      <c r="B129" s="75" t="s">
        <v>117</v>
      </c>
      <c r="C129" s="63" t="s">
        <v>118</v>
      </c>
      <c r="D129" s="55" t="s">
        <v>119</v>
      </c>
      <c r="E129" s="63" t="s">
        <v>120</v>
      </c>
      <c r="F129" s="55" t="s">
        <v>24</v>
      </c>
      <c r="G129" s="79">
        <v>0.8415</v>
      </c>
      <c r="H129" s="55"/>
      <c r="I129" s="55">
        <v>3.492</v>
      </c>
      <c r="J129" s="79">
        <f t="shared" si="26"/>
        <v>4.3335</v>
      </c>
      <c r="K129" s="79">
        <f t="shared" si="31"/>
        <v>0.43335</v>
      </c>
      <c r="L129" s="101">
        <f t="shared" si="27"/>
        <v>5</v>
      </c>
      <c r="M129" s="105"/>
      <c r="N129" s="57">
        <f t="shared" si="28"/>
        <v>0.5049</v>
      </c>
      <c r="O129" s="57">
        <f t="shared" si="29"/>
        <v>0</v>
      </c>
      <c r="P129" s="57">
        <f t="shared" si="30"/>
        <v>2.0952</v>
      </c>
      <c r="Q129" s="57">
        <f t="shared" si="18"/>
        <v>2.6001</v>
      </c>
      <c r="R129" s="102">
        <v>3</v>
      </c>
      <c r="S129" s="59"/>
    </row>
    <row r="130" ht="43.5" spans="1:19">
      <c r="A130" s="87" t="s">
        <v>458</v>
      </c>
      <c r="B130" s="68" t="s">
        <v>459</v>
      </c>
      <c r="C130" s="63" t="s">
        <v>460</v>
      </c>
      <c r="D130" s="68" t="s">
        <v>185</v>
      </c>
      <c r="E130" s="63" t="s">
        <v>461</v>
      </c>
      <c r="F130" s="69" t="s">
        <v>47</v>
      </c>
      <c r="G130" s="54">
        <v>4</v>
      </c>
      <c r="H130" s="79"/>
      <c r="I130" s="54"/>
      <c r="J130" s="79">
        <f t="shared" si="26"/>
        <v>4</v>
      </c>
      <c r="K130" s="79">
        <f t="shared" si="31"/>
        <v>0.4</v>
      </c>
      <c r="L130" s="101">
        <f t="shared" si="27"/>
        <v>4</v>
      </c>
      <c r="M130" s="105"/>
      <c r="N130" s="57">
        <f t="shared" si="28"/>
        <v>4</v>
      </c>
      <c r="O130" s="57">
        <f t="shared" si="29"/>
        <v>0</v>
      </c>
      <c r="P130" s="57">
        <f t="shared" si="30"/>
        <v>0</v>
      </c>
      <c r="Q130" s="57">
        <f t="shared" si="18"/>
        <v>4</v>
      </c>
      <c r="R130" s="102">
        <v>4</v>
      </c>
      <c r="S130" s="59"/>
    </row>
    <row r="131" s="14" customFormat="1" ht="22.5" customHeight="1" spans="1:19">
      <c r="A131" s="131" t="s">
        <v>462</v>
      </c>
      <c r="B131" s="43"/>
      <c r="C131" s="132"/>
      <c r="D131" s="133"/>
      <c r="E131" s="133"/>
      <c r="F131" s="133"/>
      <c r="G131" s="133"/>
      <c r="H131" s="133"/>
      <c r="I131" s="133"/>
      <c r="J131" s="133"/>
      <c r="K131" s="133"/>
      <c r="L131" s="133"/>
      <c r="M131" s="134"/>
      <c r="N131" s="57"/>
      <c r="O131" s="57"/>
      <c r="P131" s="57"/>
      <c r="Q131" s="57">
        <f t="shared" si="18"/>
        <v>0</v>
      </c>
      <c r="R131" s="135"/>
      <c r="S131" s="86"/>
    </row>
    <row r="132" spans="1:19">
      <c r="A132" s="106" t="s">
        <v>264</v>
      </c>
      <c r="B132" s="107" t="s">
        <v>463</v>
      </c>
      <c r="C132" s="108"/>
      <c r="D132" s="109"/>
      <c r="E132" s="109"/>
      <c r="F132" s="109"/>
      <c r="G132" s="136"/>
      <c r="H132" s="136"/>
      <c r="I132" s="136"/>
      <c r="J132" s="136"/>
      <c r="K132" s="136"/>
      <c r="L132" s="137"/>
      <c r="M132" s="138"/>
      <c r="N132" s="57"/>
      <c r="O132" s="57"/>
      <c r="P132" s="57"/>
      <c r="Q132" s="57">
        <f t="shared" si="18"/>
        <v>0</v>
      </c>
      <c r="R132" s="58"/>
      <c r="S132" s="59"/>
    </row>
    <row r="133" ht="43.5" spans="1:19">
      <c r="A133" s="87" t="s">
        <v>464</v>
      </c>
      <c r="B133" s="63" t="s">
        <v>465</v>
      </c>
      <c r="C133" s="63" t="s">
        <v>466</v>
      </c>
      <c r="D133" s="139"/>
      <c r="E133" s="139"/>
      <c r="F133" s="140" t="s">
        <v>150</v>
      </c>
      <c r="G133" s="136"/>
      <c r="H133" s="136">
        <f>690/1.2</f>
        <v>575</v>
      </c>
      <c r="I133" s="136"/>
      <c r="J133" s="79">
        <f t="shared" ref="J133:J149" si="32">G133+H133+I133</f>
        <v>575</v>
      </c>
      <c r="K133" s="79">
        <f>J133*0.1</f>
        <v>57.5</v>
      </c>
      <c r="L133" s="101">
        <f t="shared" ref="L133:L149" si="33">ROUND((J133+K133),0)</f>
        <v>633</v>
      </c>
      <c r="M133" s="67" t="s">
        <v>467</v>
      </c>
      <c r="N133" s="57">
        <f t="shared" ref="N133:N149" si="34">+R133/L133*G133</f>
        <v>0</v>
      </c>
      <c r="O133" s="57">
        <f t="shared" ref="O133:O149" si="35">+R133/L133*H133</f>
        <v>522.314375987362</v>
      </c>
      <c r="P133" s="57">
        <f t="shared" ref="P133:P149" si="36">+R133/L133*I133</f>
        <v>0</v>
      </c>
      <c r="Q133" s="57">
        <f t="shared" si="18"/>
        <v>522.314375987362</v>
      </c>
      <c r="R133" s="102">
        <v>575</v>
      </c>
      <c r="S133" s="59"/>
    </row>
    <row r="134" ht="29" spans="1:19">
      <c r="A134" s="87" t="s">
        <v>468</v>
      </c>
      <c r="B134" s="63" t="s">
        <v>469</v>
      </c>
      <c r="C134" s="63" t="s">
        <v>470</v>
      </c>
      <c r="D134" s="139"/>
      <c r="E134" s="139"/>
      <c r="F134" s="140" t="s">
        <v>150</v>
      </c>
      <c r="G134" s="136"/>
      <c r="H134" s="136">
        <f>684.4/1.2</f>
        <v>570.333333333333</v>
      </c>
      <c r="I134" s="136"/>
      <c r="J134" s="79">
        <f t="shared" si="32"/>
        <v>570.333333333333</v>
      </c>
      <c r="K134" s="79">
        <f t="shared" ref="K134:K165" si="37">J134*0.1</f>
        <v>57.0333333333333</v>
      </c>
      <c r="L134" s="101">
        <f t="shared" si="33"/>
        <v>627</v>
      </c>
      <c r="M134" s="67" t="s">
        <v>471</v>
      </c>
      <c r="N134" s="57">
        <f t="shared" si="34"/>
        <v>0</v>
      </c>
      <c r="O134" s="57">
        <f t="shared" si="35"/>
        <v>518.484848484848</v>
      </c>
      <c r="P134" s="57">
        <f t="shared" si="36"/>
        <v>0</v>
      </c>
      <c r="Q134" s="57">
        <f t="shared" si="18"/>
        <v>518.484848484848</v>
      </c>
      <c r="R134" s="102">
        <v>570</v>
      </c>
      <c r="S134" s="59"/>
    </row>
    <row r="135" ht="29" spans="1:19">
      <c r="A135" s="87" t="s">
        <v>472</v>
      </c>
      <c r="B135" s="63" t="s">
        <v>465</v>
      </c>
      <c r="C135" s="63" t="s">
        <v>473</v>
      </c>
      <c r="D135" s="139"/>
      <c r="E135" s="139"/>
      <c r="F135" s="140" t="s">
        <v>150</v>
      </c>
      <c r="G135" s="136"/>
      <c r="H135" s="136">
        <f>345/1.2</f>
        <v>287.5</v>
      </c>
      <c r="I135" s="136"/>
      <c r="J135" s="79">
        <f t="shared" si="32"/>
        <v>287.5</v>
      </c>
      <c r="K135" s="79">
        <f t="shared" si="37"/>
        <v>28.75</v>
      </c>
      <c r="L135" s="101">
        <f t="shared" si="33"/>
        <v>316</v>
      </c>
      <c r="M135" s="67" t="s">
        <v>474</v>
      </c>
      <c r="N135" s="57">
        <f t="shared" si="34"/>
        <v>0</v>
      </c>
      <c r="O135" s="57">
        <f t="shared" si="35"/>
        <v>262.025316455696</v>
      </c>
      <c r="P135" s="57">
        <f t="shared" si="36"/>
        <v>0</v>
      </c>
      <c r="Q135" s="57">
        <f t="shared" ref="Q135:Q198" si="38">SUM(N135:P135)</f>
        <v>262.025316455696</v>
      </c>
      <c r="R135" s="102">
        <v>288</v>
      </c>
      <c r="S135" s="59"/>
    </row>
    <row r="136" ht="29" spans="1:19">
      <c r="A136" s="87" t="s">
        <v>475</v>
      </c>
      <c r="B136" s="63" t="s">
        <v>465</v>
      </c>
      <c r="C136" s="63" t="s">
        <v>476</v>
      </c>
      <c r="D136" s="139"/>
      <c r="E136" s="139"/>
      <c r="F136" s="140" t="s">
        <v>150</v>
      </c>
      <c r="G136" s="136"/>
      <c r="H136" s="136">
        <f>1200/1.2</f>
        <v>1000</v>
      </c>
      <c r="I136" s="136"/>
      <c r="J136" s="79">
        <f t="shared" si="32"/>
        <v>1000</v>
      </c>
      <c r="K136" s="79">
        <f t="shared" si="37"/>
        <v>100</v>
      </c>
      <c r="L136" s="101">
        <f t="shared" si="33"/>
        <v>1100</v>
      </c>
      <c r="M136" s="67" t="s">
        <v>474</v>
      </c>
      <c r="N136" s="57">
        <f t="shared" si="34"/>
        <v>0</v>
      </c>
      <c r="O136" s="57">
        <f t="shared" si="35"/>
        <v>909.090909090909</v>
      </c>
      <c r="P136" s="57">
        <f t="shared" si="36"/>
        <v>0</v>
      </c>
      <c r="Q136" s="57">
        <f t="shared" si="38"/>
        <v>909.090909090909</v>
      </c>
      <c r="R136" s="102">
        <v>1000</v>
      </c>
      <c r="S136" s="59"/>
    </row>
    <row r="137" ht="43.5" spans="1:19">
      <c r="A137" s="87" t="s">
        <v>477</v>
      </c>
      <c r="B137" s="63" t="s">
        <v>478</v>
      </c>
      <c r="C137" s="63" t="s">
        <v>479</v>
      </c>
      <c r="D137" s="139"/>
      <c r="E137" s="139"/>
      <c r="F137" s="140" t="s">
        <v>150</v>
      </c>
      <c r="G137" s="136"/>
      <c r="H137" s="136">
        <f>1600/1.2</f>
        <v>1333.33333333333</v>
      </c>
      <c r="I137" s="136"/>
      <c r="J137" s="79">
        <f t="shared" si="32"/>
        <v>1333.33333333333</v>
      </c>
      <c r="K137" s="79">
        <f t="shared" si="37"/>
        <v>133.333333333333</v>
      </c>
      <c r="L137" s="101">
        <f t="shared" si="33"/>
        <v>1467</v>
      </c>
      <c r="M137" s="67" t="s">
        <v>467</v>
      </c>
      <c r="N137" s="57">
        <f t="shared" si="34"/>
        <v>0</v>
      </c>
      <c r="O137" s="57">
        <f t="shared" si="35"/>
        <v>1211.54283117473</v>
      </c>
      <c r="P137" s="57">
        <f t="shared" si="36"/>
        <v>0</v>
      </c>
      <c r="Q137" s="57">
        <f t="shared" si="38"/>
        <v>1211.54283117473</v>
      </c>
      <c r="R137" s="102">
        <v>1333</v>
      </c>
      <c r="S137" s="59"/>
    </row>
    <row r="138" ht="43.5" spans="1:19">
      <c r="A138" s="87" t="s">
        <v>480</v>
      </c>
      <c r="B138" s="63" t="s">
        <v>481</v>
      </c>
      <c r="C138" s="63" t="s">
        <v>482</v>
      </c>
      <c r="D138" s="139"/>
      <c r="E138" s="139"/>
      <c r="F138" s="140" t="s">
        <v>150</v>
      </c>
      <c r="G138" s="136"/>
      <c r="H138" s="136">
        <f>4200/1.2</f>
        <v>3500</v>
      </c>
      <c r="I138" s="136"/>
      <c r="J138" s="79">
        <f t="shared" si="32"/>
        <v>3500</v>
      </c>
      <c r="K138" s="79">
        <f t="shared" si="37"/>
        <v>350</v>
      </c>
      <c r="L138" s="101">
        <f t="shared" si="33"/>
        <v>3850</v>
      </c>
      <c r="M138" s="67" t="s">
        <v>467</v>
      </c>
      <c r="N138" s="57">
        <f t="shared" si="34"/>
        <v>0</v>
      </c>
      <c r="O138" s="57">
        <f t="shared" si="35"/>
        <v>3181.81818181818</v>
      </c>
      <c r="P138" s="57">
        <f t="shared" si="36"/>
        <v>0</v>
      </c>
      <c r="Q138" s="57">
        <f t="shared" si="38"/>
        <v>3181.81818181818</v>
      </c>
      <c r="R138" s="102">
        <v>3500</v>
      </c>
      <c r="S138" s="59"/>
    </row>
    <row r="139" ht="29" spans="1:19">
      <c r="A139" s="87" t="s">
        <v>483</v>
      </c>
      <c r="B139" s="63" t="s">
        <v>484</v>
      </c>
      <c r="C139" s="63" t="s">
        <v>485</v>
      </c>
      <c r="D139" s="139"/>
      <c r="E139" s="139"/>
      <c r="F139" s="140" t="s">
        <v>150</v>
      </c>
      <c r="G139" s="136"/>
      <c r="H139" s="136">
        <f>930/1.2</f>
        <v>775</v>
      </c>
      <c r="I139" s="136"/>
      <c r="J139" s="79">
        <f t="shared" si="32"/>
        <v>775</v>
      </c>
      <c r="K139" s="79">
        <f t="shared" si="37"/>
        <v>77.5</v>
      </c>
      <c r="L139" s="101">
        <f t="shared" si="33"/>
        <v>853</v>
      </c>
      <c r="M139" s="67" t="s">
        <v>486</v>
      </c>
      <c r="N139" s="57">
        <f t="shared" si="34"/>
        <v>0</v>
      </c>
      <c r="O139" s="57">
        <f t="shared" si="35"/>
        <v>704.132473622509</v>
      </c>
      <c r="P139" s="57">
        <f t="shared" si="36"/>
        <v>0</v>
      </c>
      <c r="Q139" s="57">
        <f t="shared" si="38"/>
        <v>704.132473622509</v>
      </c>
      <c r="R139" s="102">
        <v>775</v>
      </c>
      <c r="S139" s="59"/>
    </row>
    <row r="140" ht="29" spans="1:19">
      <c r="A140" s="87" t="s">
        <v>487</v>
      </c>
      <c r="B140" s="63" t="s">
        <v>488</v>
      </c>
      <c r="C140" s="63" t="s">
        <v>485</v>
      </c>
      <c r="D140" s="139"/>
      <c r="E140" s="139"/>
      <c r="F140" s="140" t="s">
        <v>150</v>
      </c>
      <c r="G140" s="136"/>
      <c r="H140" s="136">
        <f>1050/1.2</f>
        <v>875</v>
      </c>
      <c r="I140" s="136"/>
      <c r="J140" s="79">
        <f t="shared" si="32"/>
        <v>875</v>
      </c>
      <c r="K140" s="79">
        <f t="shared" si="37"/>
        <v>87.5</v>
      </c>
      <c r="L140" s="101">
        <f t="shared" si="33"/>
        <v>963</v>
      </c>
      <c r="M140" s="67" t="s">
        <v>486</v>
      </c>
      <c r="N140" s="57">
        <f t="shared" si="34"/>
        <v>0</v>
      </c>
      <c r="O140" s="57">
        <f t="shared" si="35"/>
        <v>795.041536863967</v>
      </c>
      <c r="P140" s="57">
        <f t="shared" si="36"/>
        <v>0</v>
      </c>
      <c r="Q140" s="57">
        <f t="shared" si="38"/>
        <v>795.041536863967</v>
      </c>
      <c r="R140" s="102">
        <v>875</v>
      </c>
      <c r="S140" s="59"/>
    </row>
    <row r="141" ht="29" spans="1:19">
      <c r="A141" s="87" t="s">
        <v>489</v>
      </c>
      <c r="B141" s="63" t="s">
        <v>490</v>
      </c>
      <c r="C141" s="63" t="s">
        <v>485</v>
      </c>
      <c r="D141" s="139"/>
      <c r="E141" s="139"/>
      <c r="F141" s="140" t="s">
        <v>150</v>
      </c>
      <c r="G141" s="136"/>
      <c r="H141" s="136">
        <f>1120/1.2</f>
        <v>933.333333333333</v>
      </c>
      <c r="I141" s="136"/>
      <c r="J141" s="79">
        <f t="shared" si="32"/>
        <v>933.333333333333</v>
      </c>
      <c r="K141" s="79">
        <f t="shared" si="37"/>
        <v>93.3333333333333</v>
      </c>
      <c r="L141" s="101">
        <f t="shared" si="33"/>
        <v>1027</v>
      </c>
      <c r="M141" s="67" t="s">
        <v>486</v>
      </c>
      <c r="N141" s="57">
        <f t="shared" si="34"/>
        <v>0</v>
      </c>
      <c r="O141" s="57">
        <f t="shared" si="35"/>
        <v>847.906523855891</v>
      </c>
      <c r="P141" s="57">
        <f t="shared" si="36"/>
        <v>0</v>
      </c>
      <c r="Q141" s="57">
        <f t="shared" si="38"/>
        <v>847.906523855891</v>
      </c>
      <c r="R141" s="102">
        <v>933</v>
      </c>
      <c r="S141" s="59"/>
    </row>
    <row r="142" ht="29" spans="1:19">
      <c r="A142" s="87" t="s">
        <v>491</v>
      </c>
      <c r="B142" s="63" t="s">
        <v>492</v>
      </c>
      <c r="C142" s="63" t="s">
        <v>493</v>
      </c>
      <c r="D142" s="139"/>
      <c r="E142" s="139"/>
      <c r="F142" s="140" t="s">
        <v>494</v>
      </c>
      <c r="G142" s="136"/>
      <c r="H142" s="136">
        <f>750/1.2</f>
        <v>625</v>
      </c>
      <c r="I142" s="136"/>
      <c r="J142" s="79">
        <f t="shared" si="32"/>
        <v>625</v>
      </c>
      <c r="K142" s="79">
        <f t="shared" si="37"/>
        <v>62.5</v>
      </c>
      <c r="L142" s="101">
        <f t="shared" si="33"/>
        <v>688</v>
      </c>
      <c r="M142" s="67" t="s">
        <v>486</v>
      </c>
      <c r="N142" s="57">
        <f t="shared" si="34"/>
        <v>0</v>
      </c>
      <c r="O142" s="57">
        <f t="shared" si="35"/>
        <v>567.768895348837</v>
      </c>
      <c r="P142" s="57">
        <f t="shared" si="36"/>
        <v>0</v>
      </c>
      <c r="Q142" s="57">
        <f t="shared" si="38"/>
        <v>567.768895348837</v>
      </c>
      <c r="R142" s="102">
        <v>625</v>
      </c>
      <c r="S142" s="59"/>
    </row>
    <row r="143" ht="29" spans="1:19">
      <c r="A143" s="87" t="s">
        <v>495</v>
      </c>
      <c r="B143" s="141" t="s">
        <v>496</v>
      </c>
      <c r="C143" s="142" t="s">
        <v>497</v>
      </c>
      <c r="D143" s="139"/>
      <c r="E143" s="139"/>
      <c r="F143" s="140" t="s">
        <v>494</v>
      </c>
      <c r="G143" s="136"/>
      <c r="H143" s="136">
        <f>816.5/1.2</f>
        <v>680.416666666667</v>
      </c>
      <c r="I143" s="136"/>
      <c r="J143" s="79">
        <f t="shared" si="32"/>
        <v>680.416666666667</v>
      </c>
      <c r="K143" s="79">
        <f t="shared" si="37"/>
        <v>68.0416666666667</v>
      </c>
      <c r="L143" s="101">
        <f t="shared" si="33"/>
        <v>748</v>
      </c>
      <c r="M143" s="67" t="s">
        <v>498</v>
      </c>
      <c r="N143" s="57">
        <f t="shared" si="34"/>
        <v>0</v>
      </c>
      <c r="O143" s="57">
        <f t="shared" si="35"/>
        <v>618.560606060606</v>
      </c>
      <c r="P143" s="57">
        <f t="shared" si="36"/>
        <v>0</v>
      </c>
      <c r="Q143" s="57">
        <f t="shared" si="38"/>
        <v>618.560606060606</v>
      </c>
      <c r="R143" s="102">
        <v>680</v>
      </c>
      <c r="S143" s="59"/>
    </row>
    <row r="144" ht="29" spans="1:19">
      <c r="A144" s="87" t="s">
        <v>499</v>
      </c>
      <c r="B144" s="63" t="s">
        <v>500</v>
      </c>
      <c r="C144" s="63" t="s">
        <v>501</v>
      </c>
      <c r="D144" s="139"/>
      <c r="E144" s="139"/>
      <c r="F144" s="140" t="s">
        <v>150</v>
      </c>
      <c r="G144" s="136"/>
      <c r="H144" s="136">
        <f>199.5/1.2</f>
        <v>166.25</v>
      </c>
      <c r="I144" s="136"/>
      <c r="J144" s="79">
        <f t="shared" si="32"/>
        <v>166.25</v>
      </c>
      <c r="K144" s="79">
        <f t="shared" si="37"/>
        <v>16.625</v>
      </c>
      <c r="L144" s="101">
        <f t="shared" si="33"/>
        <v>183</v>
      </c>
      <c r="M144" s="67" t="s">
        <v>486</v>
      </c>
      <c r="N144" s="57">
        <f t="shared" si="34"/>
        <v>0</v>
      </c>
      <c r="O144" s="57">
        <f t="shared" si="35"/>
        <v>151.714480874317</v>
      </c>
      <c r="P144" s="57">
        <f t="shared" si="36"/>
        <v>0</v>
      </c>
      <c r="Q144" s="57">
        <f t="shared" si="38"/>
        <v>151.714480874317</v>
      </c>
      <c r="R144" s="102">
        <v>167</v>
      </c>
      <c r="S144" s="59"/>
    </row>
    <row r="145" ht="29" spans="1:19">
      <c r="A145" s="87" t="s">
        <v>502</v>
      </c>
      <c r="B145" s="63" t="s">
        <v>503</v>
      </c>
      <c r="C145" s="63"/>
      <c r="D145" s="139"/>
      <c r="E145" s="139"/>
      <c r="F145" s="140" t="s">
        <v>150</v>
      </c>
      <c r="G145" s="136"/>
      <c r="H145" s="136">
        <f>100/1.2</f>
        <v>83.3333333333333</v>
      </c>
      <c r="I145" s="136"/>
      <c r="J145" s="79">
        <f t="shared" si="32"/>
        <v>83.3333333333333</v>
      </c>
      <c r="K145" s="79">
        <f t="shared" si="37"/>
        <v>8.33333333333333</v>
      </c>
      <c r="L145" s="101">
        <f t="shared" si="33"/>
        <v>92</v>
      </c>
      <c r="M145" s="67" t="s">
        <v>504</v>
      </c>
      <c r="N145" s="57">
        <f t="shared" si="34"/>
        <v>0</v>
      </c>
      <c r="O145" s="57">
        <f t="shared" si="35"/>
        <v>75.1811594202898</v>
      </c>
      <c r="P145" s="57">
        <f t="shared" si="36"/>
        <v>0</v>
      </c>
      <c r="Q145" s="57">
        <f t="shared" si="38"/>
        <v>75.1811594202898</v>
      </c>
      <c r="R145" s="102">
        <v>83</v>
      </c>
      <c r="S145" s="59"/>
    </row>
    <row r="146" ht="29" spans="1:19">
      <c r="A146" s="87" t="s">
        <v>505</v>
      </c>
      <c r="B146" s="63" t="s">
        <v>503</v>
      </c>
      <c r="C146" s="63" t="s">
        <v>506</v>
      </c>
      <c r="D146" s="139"/>
      <c r="E146" s="139"/>
      <c r="F146" s="140" t="s">
        <v>150</v>
      </c>
      <c r="G146" s="136"/>
      <c r="H146" s="136">
        <f>126.5/1.2</f>
        <v>105.416666666667</v>
      </c>
      <c r="I146" s="136"/>
      <c r="J146" s="79">
        <f t="shared" si="32"/>
        <v>105.416666666667</v>
      </c>
      <c r="K146" s="79">
        <f t="shared" si="37"/>
        <v>10.5416666666667</v>
      </c>
      <c r="L146" s="101">
        <f t="shared" si="33"/>
        <v>116</v>
      </c>
      <c r="M146" s="67" t="s">
        <v>507</v>
      </c>
      <c r="N146" s="57">
        <f t="shared" si="34"/>
        <v>0</v>
      </c>
      <c r="O146" s="57">
        <f t="shared" si="35"/>
        <v>95.4202586206899</v>
      </c>
      <c r="P146" s="57">
        <f t="shared" si="36"/>
        <v>0</v>
      </c>
      <c r="Q146" s="57">
        <f t="shared" si="38"/>
        <v>95.4202586206899</v>
      </c>
      <c r="R146" s="102">
        <v>105</v>
      </c>
      <c r="S146" s="59"/>
    </row>
    <row r="147" ht="29" spans="1:19">
      <c r="A147" s="87" t="s">
        <v>508</v>
      </c>
      <c r="B147" s="63" t="s">
        <v>503</v>
      </c>
      <c r="C147" s="63" t="s">
        <v>509</v>
      </c>
      <c r="D147" s="139"/>
      <c r="E147" s="139"/>
      <c r="F147" s="140" t="s">
        <v>150</v>
      </c>
      <c r="G147" s="136"/>
      <c r="H147" s="136">
        <f>74.75/1.2</f>
        <v>62.2916666666667</v>
      </c>
      <c r="I147" s="136"/>
      <c r="J147" s="79">
        <f t="shared" si="32"/>
        <v>62.2916666666667</v>
      </c>
      <c r="K147" s="79">
        <f t="shared" si="37"/>
        <v>6.22916666666667</v>
      </c>
      <c r="L147" s="101">
        <f t="shared" si="33"/>
        <v>69</v>
      </c>
      <c r="M147" s="67" t="s">
        <v>507</v>
      </c>
      <c r="N147" s="57">
        <f t="shared" si="34"/>
        <v>0</v>
      </c>
      <c r="O147" s="57">
        <f t="shared" si="35"/>
        <v>55.9722222222222</v>
      </c>
      <c r="P147" s="57">
        <f t="shared" si="36"/>
        <v>0</v>
      </c>
      <c r="Q147" s="57">
        <f t="shared" si="38"/>
        <v>55.9722222222222</v>
      </c>
      <c r="R147" s="102">
        <v>62</v>
      </c>
      <c r="S147" s="59"/>
    </row>
    <row r="148" ht="43.5" spans="1:19">
      <c r="A148" s="87" t="s">
        <v>510</v>
      </c>
      <c r="B148" s="63" t="s">
        <v>511</v>
      </c>
      <c r="C148" s="63"/>
      <c r="D148" s="139"/>
      <c r="E148" s="139"/>
      <c r="F148" s="140" t="s">
        <v>150</v>
      </c>
      <c r="G148" s="136"/>
      <c r="H148" s="136">
        <f>180/1.2</f>
        <v>150</v>
      </c>
      <c r="I148" s="136"/>
      <c r="J148" s="79">
        <f t="shared" si="32"/>
        <v>150</v>
      </c>
      <c r="K148" s="79">
        <f t="shared" si="37"/>
        <v>15</v>
      </c>
      <c r="L148" s="101">
        <f t="shared" si="33"/>
        <v>165</v>
      </c>
      <c r="M148" s="67" t="s">
        <v>504</v>
      </c>
      <c r="N148" s="57">
        <f t="shared" si="34"/>
        <v>0</v>
      </c>
      <c r="O148" s="57">
        <f t="shared" si="35"/>
        <v>136.363636363636</v>
      </c>
      <c r="P148" s="57">
        <f t="shared" si="36"/>
        <v>0</v>
      </c>
      <c r="Q148" s="57">
        <f t="shared" si="38"/>
        <v>136.363636363636</v>
      </c>
      <c r="R148" s="102">
        <v>150</v>
      </c>
      <c r="S148" s="59"/>
    </row>
    <row r="149" ht="43.5" spans="1:19">
      <c r="A149" s="87" t="s">
        <v>512</v>
      </c>
      <c r="B149" s="63" t="s">
        <v>511</v>
      </c>
      <c r="C149" s="63" t="s">
        <v>513</v>
      </c>
      <c r="D149" s="139"/>
      <c r="E149" s="139"/>
      <c r="F149" s="140" t="s">
        <v>150</v>
      </c>
      <c r="G149" s="136"/>
      <c r="H149" s="136">
        <f>171/1.2</f>
        <v>142.5</v>
      </c>
      <c r="I149" s="136"/>
      <c r="J149" s="79">
        <f t="shared" si="32"/>
        <v>142.5</v>
      </c>
      <c r="K149" s="79">
        <f t="shared" si="37"/>
        <v>14.25</v>
      </c>
      <c r="L149" s="101">
        <f t="shared" si="33"/>
        <v>157</v>
      </c>
      <c r="M149" s="67" t="s">
        <v>507</v>
      </c>
      <c r="N149" s="57">
        <f t="shared" si="34"/>
        <v>0</v>
      </c>
      <c r="O149" s="57">
        <f t="shared" si="35"/>
        <v>128.885350318471</v>
      </c>
      <c r="P149" s="57">
        <f t="shared" si="36"/>
        <v>0</v>
      </c>
      <c r="Q149" s="57">
        <f t="shared" si="38"/>
        <v>128.885350318471</v>
      </c>
      <c r="R149" s="102">
        <v>142</v>
      </c>
      <c r="S149" s="59"/>
    </row>
    <row r="150" ht="29" spans="1:19">
      <c r="A150" s="87" t="s">
        <v>514</v>
      </c>
      <c r="B150" s="63" t="s">
        <v>515</v>
      </c>
      <c r="C150" s="63" t="s">
        <v>516</v>
      </c>
      <c r="D150" s="139"/>
      <c r="E150" s="139"/>
      <c r="F150" s="140" t="s">
        <v>494</v>
      </c>
      <c r="G150" s="136"/>
      <c r="H150" s="143"/>
      <c r="I150" s="136"/>
      <c r="J150" s="136"/>
      <c r="K150" s="79">
        <f t="shared" si="37"/>
        <v>0</v>
      </c>
      <c r="L150" s="101" t="s">
        <v>517</v>
      </c>
      <c r="M150" s="67" t="s">
        <v>504</v>
      </c>
      <c r="N150" s="57"/>
      <c r="O150" s="57"/>
      <c r="P150" s="57"/>
      <c r="Q150" s="57">
        <f t="shared" si="38"/>
        <v>0</v>
      </c>
      <c r="R150" s="102">
        <v>150</v>
      </c>
      <c r="S150" s="59"/>
    </row>
    <row r="151" ht="29" spans="1:19">
      <c r="A151" s="87" t="s">
        <v>518</v>
      </c>
      <c r="B151" s="63" t="s">
        <v>519</v>
      </c>
      <c r="C151" s="63" t="s">
        <v>520</v>
      </c>
      <c r="D151" s="139"/>
      <c r="E151" s="139"/>
      <c r="F151" s="140" t="s">
        <v>494</v>
      </c>
      <c r="G151" s="136"/>
      <c r="H151" s="136">
        <f>816.5/1.2</f>
        <v>680.416666666667</v>
      </c>
      <c r="I151" s="136"/>
      <c r="J151" s="79">
        <f>G151+H151+I151</f>
        <v>680.416666666667</v>
      </c>
      <c r="K151" s="79">
        <f t="shared" si="37"/>
        <v>68.0416666666667</v>
      </c>
      <c r="L151" s="101">
        <f>ROUND((J151+K151),0)</f>
        <v>748</v>
      </c>
      <c r="M151" s="67" t="s">
        <v>498</v>
      </c>
      <c r="N151" s="57">
        <f>+R151/L151*G151</f>
        <v>0</v>
      </c>
      <c r="O151" s="57">
        <f>+R151/L151*H151</f>
        <v>618.560606060606</v>
      </c>
      <c r="P151" s="57">
        <f>+R151/L151*I151</f>
        <v>0</v>
      </c>
      <c r="Q151" s="57">
        <f t="shared" si="38"/>
        <v>618.560606060606</v>
      </c>
      <c r="R151" s="102">
        <v>680</v>
      </c>
      <c r="S151" s="59"/>
    </row>
    <row r="152" ht="14.5" spans="1:19">
      <c r="A152" s="87" t="s">
        <v>521</v>
      </c>
      <c r="B152" s="63" t="s">
        <v>522</v>
      </c>
      <c r="C152" s="63" t="s">
        <v>523</v>
      </c>
      <c r="D152" s="139"/>
      <c r="E152" s="139"/>
      <c r="F152" s="140" t="s">
        <v>494</v>
      </c>
      <c r="G152" s="136"/>
      <c r="H152" s="136">
        <f>235.75/1.2</f>
        <v>196.458333333333</v>
      </c>
      <c r="I152" s="136"/>
      <c r="J152" s="79">
        <f>G152+H152+I152</f>
        <v>196.458333333333</v>
      </c>
      <c r="K152" s="79">
        <f t="shared" si="37"/>
        <v>19.6458333333333</v>
      </c>
      <c r="L152" s="101">
        <f>ROUND((J152+K152),0)</f>
        <v>216</v>
      </c>
      <c r="M152" s="67" t="s">
        <v>524</v>
      </c>
      <c r="N152" s="57">
        <f>+R152/L152*G152</f>
        <v>0</v>
      </c>
      <c r="O152" s="57">
        <f>+R152/L152*H152</f>
        <v>178.26774691358</v>
      </c>
      <c r="P152" s="57">
        <f>+R152/L152*I152</f>
        <v>0</v>
      </c>
      <c r="Q152" s="57">
        <f t="shared" si="38"/>
        <v>178.26774691358</v>
      </c>
      <c r="R152" s="102">
        <v>196</v>
      </c>
      <c r="S152" s="59"/>
    </row>
    <row r="153" ht="29" spans="1:19">
      <c r="A153" s="87" t="s">
        <v>525</v>
      </c>
      <c r="B153" s="63" t="s">
        <v>526</v>
      </c>
      <c r="C153" s="63"/>
      <c r="D153" s="139"/>
      <c r="E153" s="139"/>
      <c r="F153" s="140" t="s">
        <v>527</v>
      </c>
      <c r="G153" s="136"/>
      <c r="H153" s="136">
        <f>150/1.2</f>
        <v>125</v>
      </c>
      <c r="I153" s="136"/>
      <c r="J153" s="79">
        <f>G153+H153+I153</f>
        <v>125</v>
      </c>
      <c r="K153" s="79">
        <f t="shared" si="37"/>
        <v>12.5</v>
      </c>
      <c r="L153" s="101">
        <f>ROUND((J153+K153),0)</f>
        <v>138</v>
      </c>
      <c r="M153" s="67" t="s">
        <v>504</v>
      </c>
      <c r="N153" s="57">
        <f>+R153/L153*G153</f>
        <v>0</v>
      </c>
      <c r="O153" s="57">
        <f>+R153/L153*H153</f>
        <v>113.224637681159</v>
      </c>
      <c r="P153" s="57">
        <f>+R153/L153*I153</f>
        <v>0</v>
      </c>
      <c r="Q153" s="57">
        <f t="shared" si="38"/>
        <v>113.224637681159</v>
      </c>
      <c r="R153" s="102">
        <v>125</v>
      </c>
      <c r="S153" s="59"/>
    </row>
    <row r="154" ht="29" spans="1:19">
      <c r="A154" s="87" t="s">
        <v>528</v>
      </c>
      <c r="B154" s="63" t="s">
        <v>529</v>
      </c>
      <c r="C154" s="63" t="s">
        <v>530</v>
      </c>
      <c r="D154" s="139"/>
      <c r="E154" s="139"/>
      <c r="F154" s="140" t="s">
        <v>531</v>
      </c>
      <c r="G154" s="136"/>
      <c r="H154" s="136">
        <f>77.5575/1.2</f>
        <v>64.63125</v>
      </c>
      <c r="I154" s="136"/>
      <c r="J154" s="79">
        <f>G154+H154+I154</f>
        <v>64.63125</v>
      </c>
      <c r="K154" s="79">
        <f t="shared" si="37"/>
        <v>6.463125</v>
      </c>
      <c r="L154" s="101">
        <f>ROUND((J154+K154),0)</f>
        <v>71</v>
      </c>
      <c r="M154" s="67" t="s">
        <v>532</v>
      </c>
      <c r="N154" s="57">
        <f>+R154/L154*G154</f>
        <v>0</v>
      </c>
      <c r="O154" s="57">
        <f>+R154/L154*H154</f>
        <v>59.1694542253521</v>
      </c>
      <c r="P154" s="57">
        <f>+R154/L154*I154</f>
        <v>0</v>
      </c>
      <c r="Q154" s="57">
        <f t="shared" si="38"/>
        <v>59.1694542253521</v>
      </c>
      <c r="R154" s="102">
        <v>65</v>
      </c>
      <c r="S154" s="59"/>
    </row>
    <row r="155" customHeight="1" spans="1:19">
      <c r="A155" s="106" t="s">
        <v>398</v>
      </c>
      <c r="B155" s="128" t="s">
        <v>533</v>
      </c>
      <c r="C155" s="104"/>
      <c r="D155" s="104"/>
      <c r="E155" s="104"/>
      <c r="F155" s="140"/>
      <c r="G155" s="136"/>
      <c r="H155" s="136"/>
      <c r="I155" s="136"/>
      <c r="J155" s="136"/>
      <c r="K155" s="79">
        <f t="shared" si="37"/>
        <v>0</v>
      </c>
      <c r="L155" s="101"/>
      <c r="M155" s="138"/>
      <c r="N155" s="57"/>
      <c r="O155" s="57"/>
      <c r="P155" s="57"/>
      <c r="Q155" s="57">
        <f t="shared" si="38"/>
        <v>0</v>
      </c>
      <c r="R155" s="58"/>
      <c r="S155" s="59"/>
    </row>
    <row r="156" ht="43.5" spans="1:19">
      <c r="A156" s="87" t="s">
        <v>534</v>
      </c>
      <c r="B156" s="63" t="s">
        <v>535</v>
      </c>
      <c r="C156" s="69"/>
      <c r="D156" s="139"/>
      <c r="E156" s="139"/>
      <c r="F156" s="140" t="s">
        <v>536</v>
      </c>
      <c r="G156" s="136"/>
      <c r="H156" s="136">
        <f>60/1.2</f>
        <v>50</v>
      </c>
      <c r="I156" s="136"/>
      <c r="J156" s="79">
        <f t="shared" ref="J156:J166" si="39">G156+H156+I156</f>
        <v>50</v>
      </c>
      <c r="K156" s="79">
        <f t="shared" si="37"/>
        <v>5</v>
      </c>
      <c r="L156" s="101">
        <f t="shared" ref="L156:L166" si="40">ROUND((J156+K156),0)</f>
        <v>55</v>
      </c>
      <c r="M156" s="144" t="s">
        <v>537</v>
      </c>
      <c r="N156" s="57">
        <f t="shared" ref="N156:N166" si="41">+R156/L156*G156</f>
        <v>0</v>
      </c>
      <c r="O156" s="57">
        <f t="shared" ref="O156:O166" si="42">+R156/L156*H156</f>
        <v>45.4545454545455</v>
      </c>
      <c r="P156" s="57">
        <f t="shared" ref="P156:P166" si="43">+R156/L156*I156</f>
        <v>0</v>
      </c>
      <c r="Q156" s="57">
        <f t="shared" si="38"/>
        <v>45.4545454545455</v>
      </c>
      <c r="R156" s="102">
        <v>50</v>
      </c>
      <c r="S156" s="59"/>
    </row>
    <row r="157" ht="29" spans="1:19">
      <c r="A157" s="87" t="s">
        <v>538</v>
      </c>
      <c r="B157" s="63" t="s">
        <v>539</v>
      </c>
      <c r="C157" s="63" t="s">
        <v>540</v>
      </c>
      <c r="D157" s="139"/>
      <c r="E157" s="139"/>
      <c r="F157" s="140" t="s">
        <v>195</v>
      </c>
      <c r="G157" s="136"/>
      <c r="H157" s="136">
        <f>15/1.2</f>
        <v>12.5</v>
      </c>
      <c r="I157" s="136"/>
      <c r="J157" s="79">
        <f t="shared" si="39"/>
        <v>12.5</v>
      </c>
      <c r="K157" s="79">
        <f t="shared" si="37"/>
        <v>1.25</v>
      </c>
      <c r="L157" s="101">
        <f t="shared" si="40"/>
        <v>14</v>
      </c>
      <c r="M157" s="144" t="s">
        <v>541</v>
      </c>
      <c r="N157" s="57">
        <f t="shared" si="41"/>
        <v>0</v>
      </c>
      <c r="O157" s="57">
        <f t="shared" si="42"/>
        <v>11.6071428571429</v>
      </c>
      <c r="P157" s="57">
        <f t="shared" si="43"/>
        <v>0</v>
      </c>
      <c r="Q157" s="57">
        <f t="shared" si="38"/>
        <v>11.6071428571429</v>
      </c>
      <c r="R157" s="102">
        <v>13</v>
      </c>
      <c r="S157" s="59"/>
    </row>
    <row r="158" ht="43.5" spans="1:19">
      <c r="A158" s="87" t="s">
        <v>542</v>
      </c>
      <c r="B158" s="63" t="s">
        <v>543</v>
      </c>
      <c r="C158" s="71"/>
      <c r="D158" s="139"/>
      <c r="E158" s="139"/>
      <c r="F158" s="140" t="s">
        <v>47</v>
      </c>
      <c r="G158" s="136"/>
      <c r="H158" s="136">
        <f>120/1.2</f>
        <v>100</v>
      </c>
      <c r="I158" s="136"/>
      <c r="J158" s="79">
        <f t="shared" si="39"/>
        <v>100</v>
      </c>
      <c r="K158" s="79">
        <f t="shared" si="37"/>
        <v>10</v>
      </c>
      <c r="L158" s="101">
        <f t="shared" si="40"/>
        <v>110</v>
      </c>
      <c r="M158" s="144" t="s">
        <v>544</v>
      </c>
      <c r="N158" s="57">
        <f t="shared" si="41"/>
        <v>0</v>
      </c>
      <c r="O158" s="57">
        <f t="shared" si="42"/>
        <v>90.9090909090909</v>
      </c>
      <c r="P158" s="57">
        <f t="shared" si="43"/>
        <v>0</v>
      </c>
      <c r="Q158" s="57">
        <f t="shared" si="38"/>
        <v>90.9090909090909</v>
      </c>
      <c r="R158" s="102">
        <v>100</v>
      </c>
      <c r="S158" s="59"/>
    </row>
    <row r="159" ht="29" spans="1:19">
      <c r="A159" s="87" t="s">
        <v>545</v>
      </c>
      <c r="B159" s="63" t="s">
        <v>546</v>
      </c>
      <c r="C159" s="69"/>
      <c r="D159" s="139"/>
      <c r="E159" s="139"/>
      <c r="F159" s="140" t="s">
        <v>531</v>
      </c>
      <c r="G159" s="136"/>
      <c r="H159" s="136">
        <f>15/1.2</f>
        <v>12.5</v>
      </c>
      <c r="I159" s="136"/>
      <c r="J159" s="79">
        <f t="shared" si="39"/>
        <v>12.5</v>
      </c>
      <c r="K159" s="79">
        <f t="shared" si="37"/>
        <v>1.25</v>
      </c>
      <c r="L159" s="101">
        <f t="shared" si="40"/>
        <v>14</v>
      </c>
      <c r="M159" s="144"/>
      <c r="N159" s="57">
        <f t="shared" si="41"/>
        <v>0</v>
      </c>
      <c r="O159" s="57">
        <f t="shared" si="42"/>
        <v>11.6071428571429</v>
      </c>
      <c r="P159" s="57">
        <f t="shared" si="43"/>
        <v>0</v>
      </c>
      <c r="Q159" s="57">
        <f t="shared" si="38"/>
        <v>11.6071428571429</v>
      </c>
      <c r="R159" s="102">
        <v>13</v>
      </c>
      <c r="S159" s="59"/>
    </row>
    <row r="160" ht="58" spans="1:19">
      <c r="A160" s="87" t="s">
        <v>547</v>
      </c>
      <c r="B160" s="71" t="s">
        <v>548</v>
      </c>
      <c r="C160" s="71" t="s">
        <v>549</v>
      </c>
      <c r="D160" s="139"/>
      <c r="E160" s="139"/>
      <c r="F160" s="69" t="s">
        <v>24</v>
      </c>
      <c r="G160" s="136"/>
      <c r="H160" s="136">
        <f>410/1.2</f>
        <v>341.666666666667</v>
      </c>
      <c r="I160" s="136"/>
      <c r="J160" s="79">
        <f t="shared" si="39"/>
        <v>341.666666666667</v>
      </c>
      <c r="K160" s="79">
        <f t="shared" si="37"/>
        <v>34.1666666666667</v>
      </c>
      <c r="L160" s="101">
        <f t="shared" si="40"/>
        <v>376</v>
      </c>
      <c r="M160" s="144" t="s">
        <v>550</v>
      </c>
      <c r="N160" s="57">
        <f t="shared" si="41"/>
        <v>0</v>
      </c>
      <c r="O160" s="57">
        <f t="shared" si="42"/>
        <v>310.771276595745</v>
      </c>
      <c r="P160" s="57">
        <f t="shared" si="43"/>
        <v>0</v>
      </c>
      <c r="Q160" s="57">
        <f t="shared" si="38"/>
        <v>310.771276595745</v>
      </c>
      <c r="R160" s="102">
        <v>342</v>
      </c>
      <c r="S160" s="59"/>
    </row>
    <row r="161" ht="58" spans="1:19">
      <c r="A161" s="87" t="s">
        <v>551</v>
      </c>
      <c r="B161" s="71" t="s">
        <v>552</v>
      </c>
      <c r="C161" s="71" t="s">
        <v>549</v>
      </c>
      <c r="D161" s="139"/>
      <c r="E161" s="139"/>
      <c r="F161" s="69" t="s">
        <v>24</v>
      </c>
      <c r="G161" s="136"/>
      <c r="H161" s="136">
        <f>410/1.2</f>
        <v>341.666666666667</v>
      </c>
      <c r="I161" s="136"/>
      <c r="J161" s="79">
        <f t="shared" si="39"/>
        <v>341.666666666667</v>
      </c>
      <c r="K161" s="79">
        <f t="shared" si="37"/>
        <v>34.1666666666667</v>
      </c>
      <c r="L161" s="101">
        <f t="shared" si="40"/>
        <v>376</v>
      </c>
      <c r="M161" s="144" t="s">
        <v>550</v>
      </c>
      <c r="N161" s="57">
        <f t="shared" si="41"/>
        <v>0</v>
      </c>
      <c r="O161" s="57">
        <f t="shared" si="42"/>
        <v>310.771276595745</v>
      </c>
      <c r="P161" s="57">
        <f t="shared" si="43"/>
        <v>0</v>
      </c>
      <c r="Q161" s="57">
        <f t="shared" si="38"/>
        <v>310.771276595745</v>
      </c>
      <c r="R161" s="102">
        <v>342</v>
      </c>
      <c r="S161" s="59"/>
    </row>
    <row r="162" ht="58" spans="1:19">
      <c r="A162" s="87" t="s">
        <v>553</v>
      </c>
      <c r="B162" s="71" t="s">
        <v>554</v>
      </c>
      <c r="C162" s="71" t="s">
        <v>549</v>
      </c>
      <c r="D162" s="139"/>
      <c r="E162" s="139"/>
      <c r="F162" s="69" t="s">
        <v>24</v>
      </c>
      <c r="G162" s="136"/>
      <c r="H162" s="136">
        <f>390/1.2</f>
        <v>325</v>
      </c>
      <c r="I162" s="136"/>
      <c r="J162" s="79">
        <f t="shared" si="39"/>
        <v>325</v>
      </c>
      <c r="K162" s="79">
        <f t="shared" si="37"/>
        <v>32.5</v>
      </c>
      <c r="L162" s="101">
        <f t="shared" si="40"/>
        <v>358</v>
      </c>
      <c r="M162" s="144" t="s">
        <v>550</v>
      </c>
      <c r="N162" s="57">
        <f t="shared" si="41"/>
        <v>0</v>
      </c>
      <c r="O162" s="57">
        <f t="shared" si="42"/>
        <v>295.041899441341</v>
      </c>
      <c r="P162" s="57">
        <f t="shared" si="43"/>
        <v>0</v>
      </c>
      <c r="Q162" s="57">
        <f t="shared" si="38"/>
        <v>295.041899441341</v>
      </c>
      <c r="R162" s="102">
        <v>325</v>
      </c>
      <c r="S162" s="59"/>
    </row>
    <row r="163" ht="43.5" spans="1:19">
      <c r="A163" s="87" t="s">
        <v>555</v>
      </c>
      <c r="B163" s="71" t="s">
        <v>556</v>
      </c>
      <c r="C163" s="71" t="s">
        <v>557</v>
      </c>
      <c r="D163" s="139"/>
      <c r="E163" s="139"/>
      <c r="F163" s="69" t="s">
        <v>24</v>
      </c>
      <c r="G163" s="136"/>
      <c r="H163" s="136">
        <f>340/1.2</f>
        <v>283.333333333333</v>
      </c>
      <c r="I163" s="136"/>
      <c r="J163" s="79">
        <f t="shared" si="39"/>
        <v>283.333333333333</v>
      </c>
      <c r="K163" s="79">
        <f t="shared" si="37"/>
        <v>28.3333333333333</v>
      </c>
      <c r="L163" s="101">
        <f t="shared" si="40"/>
        <v>312</v>
      </c>
      <c r="M163" s="144" t="s">
        <v>550</v>
      </c>
      <c r="N163" s="57">
        <f t="shared" si="41"/>
        <v>0</v>
      </c>
      <c r="O163" s="57">
        <f t="shared" si="42"/>
        <v>256.997863247863</v>
      </c>
      <c r="P163" s="57">
        <f t="shared" si="43"/>
        <v>0</v>
      </c>
      <c r="Q163" s="57">
        <f t="shared" si="38"/>
        <v>256.997863247863</v>
      </c>
      <c r="R163" s="102">
        <v>283</v>
      </c>
      <c r="S163" s="59"/>
    </row>
    <row r="164" ht="43.5" spans="1:19">
      <c r="A164" s="87" t="s">
        <v>558</v>
      </c>
      <c r="B164" s="71" t="s">
        <v>559</v>
      </c>
      <c r="C164" s="71" t="s">
        <v>560</v>
      </c>
      <c r="D164" s="139"/>
      <c r="E164" s="139"/>
      <c r="F164" s="69" t="s">
        <v>24</v>
      </c>
      <c r="G164" s="136"/>
      <c r="H164" s="136">
        <f>380/1.2</f>
        <v>316.666666666667</v>
      </c>
      <c r="I164" s="136"/>
      <c r="J164" s="79">
        <f t="shared" si="39"/>
        <v>316.666666666667</v>
      </c>
      <c r="K164" s="79">
        <f t="shared" si="37"/>
        <v>31.6666666666667</v>
      </c>
      <c r="L164" s="101">
        <f t="shared" si="40"/>
        <v>348</v>
      </c>
      <c r="M164" s="144" t="s">
        <v>561</v>
      </c>
      <c r="N164" s="57">
        <f t="shared" si="41"/>
        <v>0</v>
      </c>
      <c r="O164" s="57">
        <f t="shared" si="42"/>
        <v>288.457854406131</v>
      </c>
      <c r="P164" s="57">
        <f t="shared" si="43"/>
        <v>0</v>
      </c>
      <c r="Q164" s="57">
        <f t="shared" si="38"/>
        <v>288.457854406131</v>
      </c>
      <c r="R164" s="102">
        <v>317</v>
      </c>
      <c r="S164" s="59"/>
    </row>
    <row r="165" ht="43.5" spans="1:19">
      <c r="A165" s="87" t="s">
        <v>562</v>
      </c>
      <c r="B165" s="71" t="s">
        <v>563</v>
      </c>
      <c r="C165" s="71" t="s">
        <v>564</v>
      </c>
      <c r="D165" s="139"/>
      <c r="E165" s="139"/>
      <c r="F165" s="69" t="s">
        <v>24</v>
      </c>
      <c r="G165" s="136"/>
      <c r="H165" s="136">
        <f>350/1.2</f>
        <v>291.666666666667</v>
      </c>
      <c r="I165" s="136"/>
      <c r="J165" s="79">
        <f t="shared" si="39"/>
        <v>291.666666666667</v>
      </c>
      <c r="K165" s="79">
        <f t="shared" si="37"/>
        <v>29.1666666666667</v>
      </c>
      <c r="L165" s="101">
        <f t="shared" si="40"/>
        <v>321</v>
      </c>
      <c r="M165" s="144" t="s">
        <v>550</v>
      </c>
      <c r="N165" s="57">
        <f t="shared" si="41"/>
        <v>0</v>
      </c>
      <c r="O165" s="57">
        <f t="shared" si="42"/>
        <v>265.316718587747</v>
      </c>
      <c r="P165" s="57">
        <f t="shared" si="43"/>
        <v>0</v>
      </c>
      <c r="Q165" s="57">
        <f t="shared" si="38"/>
        <v>265.316718587747</v>
      </c>
      <c r="R165" s="102">
        <v>292</v>
      </c>
      <c r="S165" s="59"/>
    </row>
    <row r="166" ht="42" spans="1:19">
      <c r="A166" s="87" t="s">
        <v>565</v>
      </c>
      <c r="B166" s="71" t="s">
        <v>566</v>
      </c>
      <c r="C166" s="71" t="s">
        <v>567</v>
      </c>
      <c r="D166" s="139"/>
      <c r="E166" s="139"/>
      <c r="F166" s="69" t="s">
        <v>24</v>
      </c>
      <c r="G166" s="136"/>
      <c r="H166" s="136">
        <f>420/1.2</f>
        <v>350</v>
      </c>
      <c r="I166" s="136"/>
      <c r="J166" s="79">
        <f t="shared" si="39"/>
        <v>350</v>
      </c>
      <c r="K166" s="79">
        <f t="shared" ref="K166:K201" si="44">J166*0.1</f>
        <v>35</v>
      </c>
      <c r="L166" s="101">
        <f t="shared" si="40"/>
        <v>385</v>
      </c>
      <c r="M166" s="144" t="s">
        <v>568</v>
      </c>
      <c r="N166" s="57">
        <f t="shared" si="41"/>
        <v>0</v>
      </c>
      <c r="O166" s="57">
        <f t="shared" si="42"/>
        <v>318.181818181818</v>
      </c>
      <c r="P166" s="57">
        <f t="shared" si="43"/>
        <v>0</v>
      </c>
      <c r="Q166" s="57">
        <f t="shared" si="38"/>
        <v>318.181818181818</v>
      </c>
      <c r="R166" s="102">
        <v>350</v>
      </c>
      <c r="S166" s="59"/>
    </row>
    <row r="167" s="14" customFormat="1" ht="22.5" customHeight="1" spans="1:19">
      <c r="A167" s="80" t="s">
        <v>569</v>
      </c>
      <c r="B167" s="81"/>
      <c r="C167" s="82"/>
      <c r="D167" s="83"/>
      <c r="E167" s="83"/>
      <c r="F167" s="83"/>
      <c r="G167" s="145"/>
      <c r="H167" s="145"/>
      <c r="I167" s="145"/>
      <c r="J167" s="145"/>
      <c r="K167" s="79">
        <f t="shared" si="44"/>
        <v>0</v>
      </c>
      <c r="L167" s="145"/>
      <c r="M167" s="146"/>
      <c r="N167" s="57"/>
      <c r="O167" s="57"/>
      <c r="P167" s="57"/>
      <c r="Q167" s="57">
        <f t="shared" si="38"/>
        <v>0</v>
      </c>
      <c r="R167" s="135"/>
      <c r="S167" s="86"/>
    </row>
    <row r="168" ht="65" spans="1:19">
      <c r="A168" s="87" t="s">
        <v>570</v>
      </c>
      <c r="B168" s="70" t="s">
        <v>571</v>
      </c>
      <c r="C168" s="52" t="s">
        <v>572</v>
      </c>
      <c r="D168" s="51" t="s">
        <v>573</v>
      </c>
      <c r="E168" s="52" t="s">
        <v>574</v>
      </c>
      <c r="F168" s="69" t="s">
        <v>24</v>
      </c>
      <c r="G168" s="55">
        <v>21.78</v>
      </c>
      <c r="H168" s="79"/>
      <c r="I168" s="79">
        <v>3</v>
      </c>
      <c r="J168" s="79">
        <f t="shared" ref="J168:J183" si="45">G168+H168+I168</f>
        <v>24.78</v>
      </c>
      <c r="K168" s="79">
        <f t="shared" si="44"/>
        <v>2.478</v>
      </c>
      <c r="L168" s="101">
        <f t="shared" ref="L168:L183" si="46">ROUND((J168+K168),0)</f>
        <v>27</v>
      </c>
      <c r="M168" s="89" t="s">
        <v>575</v>
      </c>
      <c r="N168" s="57">
        <f t="shared" ref="N168:N183" si="47">+R168/L168*G168</f>
        <v>20.1666666666667</v>
      </c>
      <c r="O168" s="57">
        <f t="shared" ref="O168:O183" si="48">+R168/L168*H168</f>
        <v>0</v>
      </c>
      <c r="P168" s="57">
        <f t="shared" ref="P168:P183" si="49">+R168/L168*I168</f>
        <v>2.77777777777778</v>
      </c>
      <c r="Q168" s="57">
        <f t="shared" si="38"/>
        <v>22.9444444444444</v>
      </c>
      <c r="R168" s="58">
        <v>25</v>
      </c>
      <c r="S168" s="59"/>
    </row>
    <row r="169" ht="65" spans="1:19">
      <c r="A169" s="87" t="s">
        <v>576</v>
      </c>
      <c r="B169" s="70" t="s">
        <v>571</v>
      </c>
      <c r="C169" s="52" t="s">
        <v>572</v>
      </c>
      <c r="D169" s="51" t="s">
        <v>573</v>
      </c>
      <c r="E169" s="52" t="s">
        <v>574</v>
      </c>
      <c r="F169" s="69" t="s">
        <v>24</v>
      </c>
      <c r="G169" s="55">
        <v>19.0575</v>
      </c>
      <c r="H169" s="79"/>
      <c r="I169" s="79">
        <v>3</v>
      </c>
      <c r="J169" s="79">
        <f t="shared" si="45"/>
        <v>22.0575</v>
      </c>
      <c r="K169" s="79">
        <f t="shared" si="44"/>
        <v>2.20575</v>
      </c>
      <c r="L169" s="101">
        <f t="shared" si="46"/>
        <v>24</v>
      </c>
      <c r="M169" s="89" t="s">
        <v>577</v>
      </c>
      <c r="N169" s="57">
        <f t="shared" si="47"/>
        <v>15.48421875</v>
      </c>
      <c r="O169" s="57">
        <f t="shared" si="48"/>
        <v>0</v>
      </c>
      <c r="P169" s="57">
        <f t="shared" si="49"/>
        <v>2.4375</v>
      </c>
      <c r="Q169" s="57">
        <f t="shared" si="38"/>
        <v>17.92171875</v>
      </c>
      <c r="R169" s="58">
        <v>19.5</v>
      </c>
      <c r="S169" s="59"/>
    </row>
    <row r="170" ht="104" spans="1:19">
      <c r="A170" s="87" t="s">
        <v>578</v>
      </c>
      <c r="B170" s="70" t="s">
        <v>579</v>
      </c>
      <c r="C170" s="52" t="s">
        <v>580</v>
      </c>
      <c r="D170" s="51" t="s">
        <v>573</v>
      </c>
      <c r="E170" s="52" t="s">
        <v>581</v>
      </c>
      <c r="F170" s="69" t="s">
        <v>24</v>
      </c>
      <c r="G170" s="55">
        <v>28.314</v>
      </c>
      <c r="H170" s="79"/>
      <c r="I170" s="79">
        <v>3</v>
      </c>
      <c r="J170" s="79">
        <f t="shared" si="45"/>
        <v>31.314</v>
      </c>
      <c r="K170" s="79">
        <f t="shared" si="44"/>
        <v>3.1314</v>
      </c>
      <c r="L170" s="101">
        <f t="shared" si="46"/>
        <v>34</v>
      </c>
      <c r="M170" s="89"/>
      <c r="N170" s="57">
        <f t="shared" si="47"/>
        <v>22.4846470588235</v>
      </c>
      <c r="O170" s="57">
        <f t="shared" si="48"/>
        <v>0</v>
      </c>
      <c r="P170" s="57">
        <f t="shared" si="49"/>
        <v>2.38235294117647</v>
      </c>
      <c r="Q170" s="57">
        <f t="shared" si="38"/>
        <v>24.867</v>
      </c>
      <c r="R170" s="58">
        <v>27</v>
      </c>
      <c r="S170" s="59"/>
    </row>
    <row r="171" ht="91" spans="1:19">
      <c r="A171" s="87" t="s">
        <v>582</v>
      </c>
      <c r="B171" s="70" t="s">
        <v>579</v>
      </c>
      <c r="C171" s="52" t="s">
        <v>583</v>
      </c>
      <c r="D171" s="51"/>
      <c r="E171" s="52" t="s">
        <v>581</v>
      </c>
      <c r="F171" s="69" t="s">
        <v>24</v>
      </c>
      <c r="G171" s="55">
        <v>31.944</v>
      </c>
      <c r="H171" s="79"/>
      <c r="I171" s="79">
        <v>3</v>
      </c>
      <c r="J171" s="79">
        <f t="shared" si="45"/>
        <v>34.944</v>
      </c>
      <c r="K171" s="79">
        <f t="shared" si="44"/>
        <v>3.4944</v>
      </c>
      <c r="L171" s="101">
        <f t="shared" si="46"/>
        <v>38</v>
      </c>
      <c r="M171" s="89"/>
      <c r="N171" s="57">
        <f t="shared" si="47"/>
        <v>24.3783157894737</v>
      </c>
      <c r="O171" s="57">
        <f t="shared" si="48"/>
        <v>0</v>
      </c>
      <c r="P171" s="57">
        <f t="shared" si="49"/>
        <v>2.28947368421053</v>
      </c>
      <c r="Q171" s="57">
        <f t="shared" si="38"/>
        <v>26.6677894736842</v>
      </c>
      <c r="R171" s="58">
        <v>29</v>
      </c>
      <c r="S171" s="59"/>
    </row>
    <row r="172" ht="78" spans="1:19">
      <c r="A172" s="87" t="s">
        <v>584</v>
      </c>
      <c r="B172" s="70" t="s">
        <v>585</v>
      </c>
      <c r="C172" s="52" t="s">
        <v>586</v>
      </c>
      <c r="D172" s="51" t="s">
        <v>573</v>
      </c>
      <c r="E172" s="52" t="s">
        <v>587</v>
      </c>
      <c r="F172" s="69" t="s">
        <v>24</v>
      </c>
      <c r="G172" s="55">
        <v>7.26</v>
      </c>
      <c r="H172" s="79">
        <v>1.6389</v>
      </c>
      <c r="I172" s="79">
        <v>0.8</v>
      </c>
      <c r="J172" s="79">
        <f t="shared" si="45"/>
        <v>9.6989</v>
      </c>
      <c r="K172" s="79">
        <f t="shared" si="44"/>
        <v>0.96989</v>
      </c>
      <c r="L172" s="101">
        <f t="shared" si="46"/>
        <v>11</v>
      </c>
      <c r="M172" s="147"/>
      <c r="N172" s="57">
        <f t="shared" si="47"/>
        <v>5.28</v>
      </c>
      <c r="O172" s="57">
        <f t="shared" si="48"/>
        <v>1.19192727272727</v>
      </c>
      <c r="P172" s="57">
        <f t="shared" si="49"/>
        <v>0.581818181818182</v>
      </c>
      <c r="Q172" s="57">
        <f t="shared" si="38"/>
        <v>7.05374545454545</v>
      </c>
      <c r="R172" s="58">
        <v>8</v>
      </c>
      <c r="S172" s="59"/>
    </row>
    <row r="173" ht="58" spans="1:19">
      <c r="A173" s="87" t="s">
        <v>588</v>
      </c>
      <c r="B173" s="70" t="s">
        <v>589</v>
      </c>
      <c r="C173" s="52" t="s">
        <v>590</v>
      </c>
      <c r="D173" s="50" t="s">
        <v>573</v>
      </c>
      <c r="E173" s="70" t="s">
        <v>591</v>
      </c>
      <c r="F173" s="69" t="s">
        <v>24</v>
      </c>
      <c r="G173" s="55">
        <v>23.232</v>
      </c>
      <c r="H173" s="79"/>
      <c r="I173" s="79">
        <v>2.2</v>
      </c>
      <c r="J173" s="79">
        <f t="shared" si="45"/>
        <v>25.432</v>
      </c>
      <c r="K173" s="79">
        <f t="shared" si="44"/>
        <v>2.5432</v>
      </c>
      <c r="L173" s="101">
        <f t="shared" si="46"/>
        <v>28</v>
      </c>
      <c r="M173" s="99" t="s">
        <v>592</v>
      </c>
      <c r="N173" s="57">
        <f t="shared" si="47"/>
        <v>19.9131428571429</v>
      </c>
      <c r="O173" s="57">
        <f t="shared" si="48"/>
        <v>0</v>
      </c>
      <c r="P173" s="57">
        <f t="shared" si="49"/>
        <v>1.88571428571429</v>
      </c>
      <c r="Q173" s="57">
        <f t="shared" si="38"/>
        <v>21.7988571428571</v>
      </c>
      <c r="R173" s="58">
        <v>24</v>
      </c>
      <c r="S173" s="59" t="s">
        <v>592</v>
      </c>
    </row>
    <row r="174" ht="58" spans="1:19">
      <c r="A174" s="87" t="s">
        <v>593</v>
      </c>
      <c r="B174" s="70" t="s">
        <v>594</v>
      </c>
      <c r="C174" s="52" t="s">
        <v>595</v>
      </c>
      <c r="D174" s="50" t="s">
        <v>573</v>
      </c>
      <c r="E174" s="70" t="s">
        <v>591</v>
      </c>
      <c r="F174" s="69" t="s">
        <v>24</v>
      </c>
      <c r="G174" s="55">
        <v>26.136</v>
      </c>
      <c r="H174" s="79"/>
      <c r="I174" s="79">
        <v>2.2</v>
      </c>
      <c r="J174" s="79">
        <f t="shared" si="45"/>
        <v>28.336</v>
      </c>
      <c r="K174" s="79">
        <f t="shared" si="44"/>
        <v>2.8336</v>
      </c>
      <c r="L174" s="101">
        <f t="shared" si="46"/>
        <v>31</v>
      </c>
      <c r="M174" s="99" t="s">
        <v>592</v>
      </c>
      <c r="N174" s="57">
        <f t="shared" si="47"/>
        <v>22.7636129032258</v>
      </c>
      <c r="O174" s="57">
        <f t="shared" si="48"/>
        <v>0</v>
      </c>
      <c r="P174" s="57">
        <f t="shared" si="49"/>
        <v>1.91612903225806</v>
      </c>
      <c r="Q174" s="57">
        <f t="shared" si="38"/>
        <v>24.6797419354839</v>
      </c>
      <c r="R174" s="58">
        <v>27</v>
      </c>
      <c r="S174" s="59" t="s">
        <v>592</v>
      </c>
    </row>
    <row r="175" ht="29" spans="1:19">
      <c r="A175" s="87" t="s">
        <v>596</v>
      </c>
      <c r="B175" s="70" t="s">
        <v>597</v>
      </c>
      <c r="C175" s="52" t="s">
        <v>598</v>
      </c>
      <c r="D175" s="51" t="s">
        <v>573</v>
      </c>
      <c r="E175" s="52" t="s">
        <v>599</v>
      </c>
      <c r="F175" s="69" t="s">
        <v>24</v>
      </c>
      <c r="G175" s="55">
        <v>9</v>
      </c>
      <c r="H175" s="79">
        <v>3</v>
      </c>
      <c r="I175" s="79">
        <v>1</v>
      </c>
      <c r="J175" s="79">
        <f t="shared" si="45"/>
        <v>13</v>
      </c>
      <c r="K175" s="79">
        <f t="shared" si="44"/>
        <v>1.3</v>
      </c>
      <c r="L175" s="101">
        <f t="shared" si="46"/>
        <v>14</v>
      </c>
      <c r="M175" s="89" t="s">
        <v>600</v>
      </c>
      <c r="N175" s="57">
        <f t="shared" si="47"/>
        <v>5.78571428571429</v>
      </c>
      <c r="O175" s="57">
        <f t="shared" si="48"/>
        <v>1.92857142857143</v>
      </c>
      <c r="P175" s="57">
        <f t="shared" si="49"/>
        <v>0.642857142857143</v>
      </c>
      <c r="Q175" s="57">
        <f t="shared" si="38"/>
        <v>8.35714285714286</v>
      </c>
      <c r="R175" s="58">
        <v>9</v>
      </c>
      <c r="S175" s="59"/>
    </row>
    <row r="176" ht="39" spans="1:19">
      <c r="A176" s="87" t="s">
        <v>601</v>
      </c>
      <c r="B176" s="70" t="s">
        <v>602</v>
      </c>
      <c r="C176" s="52" t="s">
        <v>603</v>
      </c>
      <c r="D176" s="50" t="s">
        <v>573</v>
      </c>
      <c r="E176" s="70" t="s">
        <v>604</v>
      </c>
      <c r="F176" s="69" t="s">
        <v>24</v>
      </c>
      <c r="G176" s="55">
        <v>42.4285714285714</v>
      </c>
      <c r="H176" s="79">
        <v>31.9</v>
      </c>
      <c r="I176" s="79">
        <v>4</v>
      </c>
      <c r="J176" s="79">
        <f t="shared" si="45"/>
        <v>78.3285714285714</v>
      </c>
      <c r="K176" s="79">
        <f t="shared" si="44"/>
        <v>7.83285714285714</v>
      </c>
      <c r="L176" s="101">
        <f t="shared" si="46"/>
        <v>86</v>
      </c>
      <c r="M176" s="99"/>
      <c r="N176" s="57">
        <f t="shared" si="47"/>
        <v>36.0149501661129</v>
      </c>
      <c r="O176" s="57">
        <f t="shared" si="48"/>
        <v>27.0779069767442</v>
      </c>
      <c r="P176" s="57">
        <f t="shared" si="49"/>
        <v>3.3953488372093</v>
      </c>
      <c r="Q176" s="57">
        <f t="shared" si="38"/>
        <v>66.4882059800664</v>
      </c>
      <c r="R176" s="102">
        <v>73</v>
      </c>
      <c r="S176" s="59"/>
    </row>
    <row r="177" ht="52" spans="1:19">
      <c r="A177" s="87" t="s">
        <v>605</v>
      </c>
      <c r="B177" s="70" t="s">
        <v>606</v>
      </c>
      <c r="C177" s="52" t="s">
        <v>607</v>
      </c>
      <c r="D177" s="50" t="s">
        <v>573</v>
      </c>
      <c r="E177" s="70" t="s">
        <v>608</v>
      </c>
      <c r="F177" s="69" t="s">
        <v>24</v>
      </c>
      <c r="G177" s="55">
        <v>25.9545</v>
      </c>
      <c r="H177" s="79">
        <v>20.262</v>
      </c>
      <c r="I177" s="79">
        <v>1.8</v>
      </c>
      <c r="J177" s="79">
        <f t="shared" si="45"/>
        <v>48.0165</v>
      </c>
      <c r="K177" s="79">
        <f t="shared" si="44"/>
        <v>4.80165</v>
      </c>
      <c r="L177" s="101">
        <f t="shared" si="46"/>
        <v>53</v>
      </c>
      <c r="M177" s="99" t="s">
        <v>609</v>
      </c>
      <c r="N177" s="57">
        <f t="shared" si="47"/>
        <v>22.0368396226415</v>
      </c>
      <c r="O177" s="57">
        <f t="shared" si="48"/>
        <v>17.2035849056604</v>
      </c>
      <c r="P177" s="57">
        <f t="shared" si="49"/>
        <v>1.52830188679245</v>
      </c>
      <c r="Q177" s="57">
        <f t="shared" si="38"/>
        <v>40.7687264150943</v>
      </c>
      <c r="R177" s="102">
        <v>45</v>
      </c>
      <c r="S177" s="59"/>
    </row>
    <row r="178" ht="52" spans="1:19">
      <c r="A178" s="87" t="s">
        <v>610</v>
      </c>
      <c r="B178" s="68" t="s">
        <v>611</v>
      </c>
      <c r="C178" s="52" t="s">
        <v>612</v>
      </c>
      <c r="D178" s="65" t="s">
        <v>573</v>
      </c>
      <c r="E178" s="70" t="s">
        <v>574</v>
      </c>
      <c r="F178" s="69" t="s">
        <v>24</v>
      </c>
      <c r="G178" s="55">
        <v>6.47955</v>
      </c>
      <c r="H178" s="79">
        <v>4.6827</v>
      </c>
      <c r="I178" s="79">
        <v>0.8</v>
      </c>
      <c r="J178" s="79">
        <f t="shared" si="45"/>
        <v>11.96225</v>
      </c>
      <c r="K178" s="79">
        <f t="shared" si="44"/>
        <v>1.196225</v>
      </c>
      <c r="L178" s="101">
        <f t="shared" si="46"/>
        <v>13</v>
      </c>
      <c r="M178" s="148"/>
      <c r="N178" s="57">
        <f t="shared" si="47"/>
        <v>0</v>
      </c>
      <c r="O178" s="57">
        <f t="shared" si="48"/>
        <v>0</v>
      </c>
      <c r="P178" s="57">
        <f t="shared" si="49"/>
        <v>0</v>
      </c>
      <c r="Q178" s="57">
        <f t="shared" si="38"/>
        <v>0</v>
      </c>
      <c r="R178" s="58"/>
      <c r="S178" s="59"/>
    </row>
    <row r="179" ht="65" spans="1:19">
      <c r="A179" s="87" t="s">
        <v>613</v>
      </c>
      <c r="B179" s="68" t="s">
        <v>614</v>
      </c>
      <c r="C179" s="52" t="s">
        <v>615</v>
      </c>
      <c r="D179" s="65" t="s">
        <v>573</v>
      </c>
      <c r="E179" s="70" t="s">
        <v>574</v>
      </c>
      <c r="F179" s="69" t="s">
        <v>24</v>
      </c>
      <c r="G179" s="55">
        <v>3.24885</v>
      </c>
      <c r="H179" s="79">
        <v>1.80587</v>
      </c>
      <c r="I179" s="79">
        <v>0.5</v>
      </c>
      <c r="J179" s="79">
        <f t="shared" si="45"/>
        <v>5.55472</v>
      </c>
      <c r="K179" s="79">
        <f t="shared" si="44"/>
        <v>0.555472</v>
      </c>
      <c r="L179" s="101">
        <f t="shared" si="46"/>
        <v>6</v>
      </c>
      <c r="M179" s="148"/>
      <c r="N179" s="57">
        <f t="shared" si="47"/>
        <v>0</v>
      </c>
      <c r="O179" s="57">
        <f t="shared" si="48"/>
        <v>0</v>
      </c>
      <c r="P179" s="57">
        <f t="shared" si="49"/>
        <v>0</v>
      </c>
      <c r="Q179" s="57">
        <f t="shared" si="38"/>
        <v>0</v>
      </c>
      <c r="R179" s="58"/>
      <c r="S179" s="59"/>
    </row>
    <row r="180" ht="65" spans="1:19">
      <c r="A180" s="87" t="s">
        <v>616</v>
      </c>
      <c r="B180" s="68" t="s">
        <v>617</v>
      </c>
      <c r="C180" s="52" t="s">
        <v>618</v>
      </c>
      <c r="D180" s="65" t="s">
        <v>573</v>
      </c>
      <c r="E180" s="70" t="s">
        <v>574</v>
      </c>
      <c r="F180" s="69" t="s">
        <v>24</v>
      </c>
      <c r="G180" s="55">
        <v>5.1909</v>
      </c>
      <c r="H180" s="79">
        <v>2.378827</v>
      </c>
      <c r="I180" s="79">
        <v>0.8</v>
      </c>
      <c r="J180" s="79">
        <f t="shared" si="45"/>
        <v>8.369727</v>
      </c>
      <c r="K180" s="79">
        <f t="shared" si="44"/>
        <v>0.8369727</v>
      </c>
      <c r="L180" s="101">
        <f t="shared" si="46"/>
        <v>9</v>
      </c>
      <c r="M180" s="148"/>
      <c r="N180" s="57">
        <f t="shared" si="47"/>
        <v>0</v>
      </c>
      <c r="O180" s="57">
        <f t="shared" si="48"/>
        <v>0</v>
      </c>
      <c r="P180" s="57">
        <f t="shared" si="49"/>
        <v>0</v>
      </c>
      <c r="Q180" s="57">
        <f t="shared" si="38"/>
        <v>0</v>
      </c>
      <c r="R180" s="58"/>
      <c r="S180" s="59"/>
    </row>
    <row r="181" ht="39" spans="1:19">
      <c r="A181" s="87" t="s">
        <v>619</v>
      </c>
      <c r="B181" s="68" t="s">
        <v>620</v>
      </c>
      <c r="C181" s="52" t="s">
        <v>621</v>
      </c>
      <c r="D181" s="65" t="s">
        <v>63</v>
      </c>
      <c r="E181" s="70" t="s">
        <v>604</v>
      </c>
      <c r="F181" s="69" t="s">
        <v>47</v>
      </c>
      <c r="G181" s="55">
        <v>6.897</v>
      </c>
      <c r="H181" s="79">
        <v>3.6113</v>
      </c>
      <c r="I181" s="79"/>
      <c r="J181" s="79">
        <f t="shared" si="45"/>
        <v>10.5083</v>
      </c>
      <c r="K181" s="79">
        <f t="shared" si="44"/>
        <v>1.05083</v>
      </c>
      <c r="L181" s="101">
        <f t="shared" si="46"/>
        <v>12</v>
      </c>
      <c r="M181" s="99"/>
      <c r="N181" s="57">
        <f t="shared" si="47"/>
        <v>4.598</v>
      </c>
      <c r="O181" s="57">
        <f t="shared" si="48"/>
        <v>2.40753333333333</v>
      </c>
      <c r="P181" s="57">
        <f t="shared" si="49"/>
        <v>0</v>
      </c>
      <c r="Q181" s="57">
        <f t="shared" si="38"/>
        <v>7.00553333333333</v>
      </c>
      <c r="R181" s="58">
        <v>8</v>
      </c>
      <c r="S181" s="59"/>
    </row>
    <row r="182" ht="43.5" spans="1:19">
      <c r="A182" s="87" t="s">
        <v>622</v>
      </c>
      <c r="B182" s="68" t="s">
        <v>623</v>
      </c>
      <c r="C182" s="52" t="s">
        <v>621</v>
      </c>
      <c r="D182" s="65" t="s">
        <v>63</v>
      </c>
      <c r="E182" s="70" t="s">
        <v>604</v>
      </c>
      <c r="F182" s="69" t="s">
        <v>47</v>
      </c>
      <c r="G182" s="55">
        <v>9.075</v>
      </c>
      <c r="H182" s="79">
        <v>4.815569</v>
      </c>
      <c r="I182" s="79"/>
      <c r="J182" s="79">
        <f t="shared" si="45"/>
        <v>13.890569</v>
      </c>
      <c r="K182" s="79">
        <f t="shared" si="44"/>
        <v>1.3890569</v>
      </c>
      <c r="L182" s="101">
        <f t="shared" si="46"/>
        <v>15</v>
      </c>
      <c r="M182" s="99"/>
      <c r="N182" s="57">
        <f t="shared" si="47"/>
        <v>7.26</v>
      </c>
      <c r="O182" s="57">
        <f t="shared" si="48"/>
        <v>3.8524552</v>
      </c>
      <c r="P182" s="57">
        <f t="shared" si="49"/>
        <v>0</v>
      </c>
      <c r="Q182" s="57">
        <f t="shared" si="38"/>
        <v>11.1124552</v>
      </c>
      <c r="R182" s="58">
        <v>12</v>
      </c>
      <c r="S182" s="59"/>
    </row>
    <row r="183" ht="304.5" spans="1:19">
      <c r="A183" s="87" t="s">
        <v>624</v>
      </c>
      <c r="B183" s="68" t="s">
        <v>625</v>
      </c>
      <c r="C183" s="52" t="s">
        <v>626</v>
      </c>
      <c r="D183" s="51" t="s">
        <v>573</v>
      </c>
      <c r="E183" s="70" t="s">
        <v>627</v>
      </c>
      <c r="F183" s="69" t="s">
        <v>24</v>
      </c>
      <c r="G183" s="55">
        <v>190.575</v>
      </c>
      <c r="H183" s="79">
        <v>110</v>
      </c>
      <c r="I183" s="79">
        <v>5</v>
      </c>
      <c r="J183" s="79">
        <f t="shared" si="45"/>
        <v>305.575</v>
      </c>
      <c r="K183" s="79">
        <f t="shared" si="44"/>
        <v>30.5575</v>
      </c>
      <c r="L183" s="101">
        <f t="shared" si="46"/>
        <v>336</v>
      </c>
      <c r="M183" s="99" t="s">
        <v>628</v>
      </c>
      <c r="N183" s="57">
        <f t="shared" si="47"/>
        <v>167.3203125</v>
      </c>
      <c r="O183" s="57">
        <f t="shared" si="48"/>
        <v>96.5773809523809</v>
      </c>
      <c r="P183" s="57">
        <f t="shared" si="49"/>
        <v>4.38988095238095</v>
      </c>
      <c r="Q183" s="57">
        <f t="shared" si="38"/>
        <v>268.287574404762</v>
      </c>
      <c r="R183" s="58">
        <v>295</v>
      </c>
      <c r="S183" s="59"/>
    </row>
    <row r="184" s="14" customFormat="1" ht="22.5" spans="1:19">
      <c r="A184" s="149" t="s">
        <v>629</v>
      </c>
      <c r="B184" s="150"/>
      <c r="C184" s="151"/>
      <c r="D184" s="152"/>
      <c r="E184" s="152"/>
      <c r="F184" s="152"/>
      <c r="G184" s="152"/>
      <c r="H184" s="152"/>
      <c r="I184" s="152"/>
      <c r="J184" s="152"/>
      <c r="K184" s="79">
        <f t="shared" si="44"/>
        <v>0</v>
      </c>
      <c r="L184" s="152"/>
      <c r="M184" s="153"/>
      <c r="N184" s="57"/>
      <c r="O184" s="57"/>
      <c r="P184" s="57"/>
      <c r="Q184" s="57">
        <f t="shared" si="38"/>
        <v>0</v>
      </c>
      <c r="R184" s="154"/>
      <c r="S184" s="86"/>
    </row>
    <row r="185" ht="27" customHeight="1" spans="1:19">
      <c r="A185" s="155" t="s">
        <v>264</v>
      </c>
      <c r="B185" s="156" t="s">
        <v>630</v>
      </c>
      <c r="C185" s="156"/>
      <c r="D185" s="157"/>
      <c r="E185" s="139"/>
      <c r="F185" s="140"/>
      <c r="G185" s="136"/>
      <c r="H185" s="136"/>
      <c r="I185" s="136"/>
      <c r="J185" s="136"/>
      <c r="K185" s="79">
        <f t="shared" si="44"/>
        <v>0</v>
      </c>
      <c r="L185" s="137"/>
      <c r="M185" s="138"/>
      <c r="N185" s="57"/>
      <c r="O185" s="57"/>
      <c r="P185" s="57"/>
      <c r="Q185" s="57">
        <f t="shared" si="38"/>
        <v>0</v>
      </c>
      <c r="R185" s="58"/>
      <c r="S185" s="59"/>
    </row>
    <row r="186" ht="13.5" customHeight="1" spans="1:19">
      <c r="A186" s="158"/>
      <c r="B186" s="159" t="s">
        <v>631</v>
      </c>
      <c r="C186" s="159"/>
      <c r="D186" s="160" t="s">
        <v>632</v>
      </c>
      <c r="E186" s="139"/>
      <c r="F186" s="140"/>
      <c r="G186" s="136"/>
      <c r="H186" s="136"/>
      <c r="I186" s="136"/>
      <c r="J186" s="136"/>
      <c r="K186" s="79">
        <f t="shared" si="44"/>
        <v>0</v>
      </c>
      <c r="L186" s="137"/>
      <c r="M186" s="138"/>
      <c r="N186" s="57"/>
      <c r="O186" s="57"/>
      <c r="P186" s="57"/>
      <c r="Q186" s="57">
        <f t="shared" si="38"/>
        <v>0</v>
      </c>
      <c r="R186" s="58"/>
      <c r="S186" s="59"/>
    </row>
    <row r="187" ht="40.5" customHeight="1" spans="1:19">
      <c r="A187" s="161" t="s">
        <v>633</v>
      </c>
      <c r="B187" s="162"/>
      <c r="C187" s="162" t="s">
        <v>634</v>
      </c>
      <c r="D187" s="160"/>
      <c r="E187" s="163" t="s">
        <v>635</v>
      </c>
      <c r="F187" s="140" t="s">
        <v>24</v>
      </c>
      <c r="G187" s="136">
        <f>97.02/1.2</f>
        <v>80.85</v>
      </c>
      <c r="H187" s="136"/>
      <c r="I187" s="136"/>
      <c r="J187" s="79">
        <f t="shared" ref="J187:J192" si="50">G187+H187+I187</f>
        <v>80.85</v>
      </c>
      <c r="K187" s="79">
        <f t="shared" si="44"/>
        <v>8.085</v>
      </c>
      <c r="L187" s="101">
        <f t="shared" ref="L187:L192" si="51">ROUND((J187+K187),0)</f>
        <v>89</v>
      </c>
      <c r="M187" s="138"/>
      <c r="N187" s="57">
        <f t="shared" ref="N187:N192" si="52">+R187/L187*G187</f>
        <v>72.6741573033708</v>
      </c>
      <c r="O187" s="57">
        <f t="shared" ref="O187:O192" si="53">+R187/L187*H187</f>
        <v>0</v>
      </c>
      <c r="P187" s="57">
        <f t="shared" ref="P187:P192" si="54">+R187/L187*I187</f>
        <v>0</v>
      </c>
      <c r="Q187" s="57">
        <f t="shared" si="38"/>
        <v>72.6741573033708</v>
      </c>
      <c r="R187" s="102">
        <v>80</v>
      </c>
      <c r="S187" s="59"/>
    </row>
    <row r="188" ht="56" spans="1:19">
      <c r="A188" s="161" t="s">
        <v>636</v>
      </c>
      <c r="B188" s="162"/>
      <c r="C188" s="162" t="s">
        <v>637</v>
      </c>
      <c r="D188" s="160"/>
      <c r="E188" s="163"/>
      <c r="F188" s="140" t="s">
        <v>24</v>
      </c>
      <c r="G188" s="136">
        <f>115.21125/1.2</f>
        <v>96.009375</v>
      </c>
      <c r="H188" s="136"/>
      <c r="I188" s="136"/>
      <c r="J188" s="79">
        <f t="shared" si="50"/>
        <v>96.009375</v>
      </c>
      <c r="K188" s="79">
        <f t="shared" si="44"/>
        <v>9.6009375</v>
      </c>
      <c r="L188" s="101">
        <f t="shared" si="51"/>
        <v>106</v>
      </c>
      <c r="M188" s="138"/>
      <c r="N188" s="57">
        <f t="shared" si="52"/>
        <v>81.5173938679245</v>
      </c>
      <c r="O188" s="57">
        <f t="shared" si="53"/>
        <v>0</v>
      </c>
      <c r="P188" s="57">
        <f t="shared" si="54"/>
        <v>0</v>
      </c>
      <c r="Q188" s="57">
        <f t="shared" si="38"/>
        <v>81.5173938679245</v>
      </c>
      <c r="R188" s="102">
        <v>90</v>
      </c>
      <c r="S188" s="59"/>
    </row>
    <row r="189" ht="56" spans="1:19">
      <c r="A189" s="161" t="s">
        <v>638</v>
      </c>
      <c r="B189" s="162"/>
      <c r="C189" s="162" t="s">
        <v>639</v>
      </c>
      <c r="D189" s="160"/>
      <c r="E189" s="163"/>
      <c r="F189" s="140" t="s">
        <v>24</v>
      </c>
      <c r="G189" s="136">
        <f>139.46625/1.2</f>
        <v>116.221875</v>
      </c>
      <c r="H189" s="136"/>
      <c r="I189" s="136"/>
      <c r="J189" s="79">
        <f t="shared" si="50"/>
        <v>116.221875</v>
      </c>
      <c r="K189" s="79">
        <f t="shared" si="44"/>
        <v>11.6221875</v>
      </c>
      <c r="L189" s="101">
        <f t="shared" si="51"/>
        <v>128</v>
      </c>
      <c r="M189" s="138"/>
      <c r="N189" s="57">
        <f t="shared" si="52"/>
        <v>95.3382568359375</v>
      </c>
      <c r="O189" s="57">
        <f t="shared" si="53"/>
        <v>0</v>
      </c>
      <c r="P189" s="57">
        <f t="shared" si="54"/>
        <v>0</v>
      </c>
      <c r="Q189" s="57">
        <f t="shared" si="38"/>
        <v>95.3382568359375</v>
      </c>
      <c r="R189" s="102">
        <v>105</v>
      </c>
      <c r="S189" s="59"/>
    </row>
    <row r="190" ht="56" spans="1:19">
      <c r="A190" s="161" t="s">
        <v>640</v>
      </c>
      <c r="B190" s="162"/>
      <c r="C190" s="162" t="s">
        <v>641</v>
      </c>
      <c r="D190" s="160"/>
      <c r="E190" s="163"/>
      <c r="F190" s="140" t="s">
        <v>24</v>
      </c>
      <c r="G190" s="136">
        <f>218.295/1.2</f>
        <v>181.9125</v>
      </c>
      <c r="H190" s="136"/>
      <c r="I190" s="136"/>
      <c r="J190" s="79">
        <f t="shared" si="50"/>
        <v>181.9125</v>
      </c>
      <c r="K190" s="79">
        <f t="shared" si="44"/>
        <v>18.19125</v>
      </c>
      <c r="L190" s="101">
        <f t="shared" si="51"/>
        <v>200</v>
      </c>
      <c r="M190" s="138"/>
      <c r="N190" s="57">
        <f t="shared" si="52"/>
        <v>145.53</v>
      </c>
      <c r="O190" s="57">
        <f t="shared" si="53"/>
        <v>0</v>
      </c>
      <c r="P190" s="57">
        <f t="shared" si="54"/>
        <v>0</v>
      </c>
      <c r="Q190" s="57">
        <f t="shared" si="38"/>
        <v>145.53</v>
      </c>
      <c r="R190" s="102">
        <v>160</v>
      </c>
      <c r="S190" s="59"/>
    </row>
    <row r="191" ht="42" spans="1:19">
      <c r="A191" s="161" t="s">
        <v>642</v>
      </c>
      <c r="B191" s="162"/>
      <c r="C191" s="162" t="s">
        <v>643</v>
      </c>
      <c r="D191" s="160"/>
      <c r="E191" s="163"/>
      <c r="F191" s="140" t="s">
        <v>24</v>
      </c>
      <c r="G191" s="136">
        <f>84.8925/1.2</f>
        <v>70.74375</v>
      </c>
      <c r="H191" s="136"/>
      <c r="I191" s="136"/>
      <c r="J191" s="79">
        <f t="shared" si="50"/>
        <v>70.74375</v>
      </c>
      <c r="K191" s="79">
        <f t="shared" si="44"/>
        <v>7.074375</v>
      </c>
      <c r="L191" s="101">
        <f t="shared" si="51"/>
        <v>78</v>
      </c>
      <c r="M191" s="138"/>
      <c r="N191" s="57">
        <f t="shared" si="52"/>
        <v>0</v>
      </c>
      <c r="O191" s="57">
        <f t="shared" si="53"/>
        <v>0</v>
      </c>
      <c r="P191" s="57">
        <f t="shared" si="54"/>
        <v>0</v>
      </c>
      <c r="Q191" s="57">
        <f t="shared" si="38"/>
        <v>0</v>
      </c>
      <c r="R191" s="102"/>
      <c r="S191" s="59"/>
    </row>
    <row r="192" ht="42" spans="1:19">
      <c r="A192" s="161" t="s">
        <v>644</v>
      </c>
      <c r="B192" s="162"/>
      <c r="C192" s="162" t="s">
        <v>645</v>
      </c>
      <c r="D192" s="160"/>
      <c r="E192" s="163"/>
      <c r="F192" s="140" t="s">
        <v>24</v>
      </c>
      <c r="G192" s="136">
        <f>60.6375/1.2</f>
        <v>50.53125</v>
      </c>
      <c r="H192" s="136"/>
      <c r="I192" s="136"/>
      <c r="J192" s="79">
        <f t="shared" si="50"/>
        <v>50.53125</v>
      </c>
      <c r="K192" s="79">
        <f t="shared" si="44"/>
        <v>5.053125</v>
      </c>
      <c r="L192" s="101">
        <f t="shared" si="51"/>
        <v>56</v>
      </c>
      <c r="M192" s="138"/>
      <c r="N192" s="57">
        <f t="shared" si="52"/>
        <v>0</v>
      </c>
      <c r="O192" s="57">
        <f t="shared" si="53"/>
        <v>0</v>
      </c>
      <c r="P192" s="57">
        <f t="shared" si="54"/>
        <v>0</v>
      </c>
      <c r="Q192" s="57">
        <f t="shared" si="38"/>
        <v>0</v>
      </c>
      <c r="R192" s="102"/>
      <c r="S192" s="59"/>
    </row>
    <row r="193" ht="14.5" spans="1:19">
      <c r="A193" s="161"/>
      <c r="B193" s="159" t="s">
        <v>646</v>
      </c>
      <c r="C193" s="159"/>
      <c r="D193" s="160"/>
      <c r="E193" s="162"/>
      <c r="F193" s="140"/>
      <c r="G193" s="136"/>
      <c r="H193" s="136"/>
      <c r="I193" s="136"/>
      <c r="J193" s="136"/>
      <c r="K193" s="79">
        <f t="shared" si="44"/>
        <v>0</v>
      </c>
      <c r="L193" s="164"/>
      <c r="M193" s="138"/>
      <c r="N193" s="57"/>
      <c r="O193" s="57"/>
      <c r="P193" s="57"/>
      <c r="Q193" s="57">
        <f t="shared" si="38"/>
        <v>0</v>
      </c>
      <c r="R193" s="102"/>
      <c r="S193" s="59"/>
    </row>
    <row r="194" ht="42" spans="1:19">
      <c r="A194" s="161" t="s">
        <v>647</v>
      </c>
      <c r="B194" s="162"/>
      <c r="C194" s="162" t="s">
        <v>648</v>
      </c>
      <c r="D194" s="160"/>
      <c r="E194" s="162" t="s">
        <v>649</v>
      </c>
      <c r="F194" s="140" t="s">
        <v>650</v>
      </c>
      <c r="G194" s="136">
        <f>1212.75/1.2</f>
        <v>1010.625</v>
      </c>
      <c r="H194" s="136"/>
      <c r="I194" s="136"/>
      <c r="J194" s="79">
        <f>G194+H194+I194</f>
        <v>1010.625</v>
      </c>
      <c r="K194" s="79">
        <f t="shared" si="44"/>
        <v>101.0625</v>
      </c>
      <c r="L194" s="101">
        <f>ROUND((J194+K194),0)</f>
        <v>1112</v>
      </c>
      <c r="M194" s="138"/>
      <c r="N194" s="57"/>
      <c r="O194" s="57"/>
      <c r="P194" s="57"/>
      <c r="Q194" s="57">
        <f t="shared" si="38"/>
        <v>0</v>
      </c>
      <c r="R194" s="102" t="s">
        <v>651</v>
      </c>
      <c r="S194" s="59"/>
    </row>
    <row r="195" ht="28" spans="1:19">
      <c r="A195" s="161" t="s">
        <v>652</v>
      </c>
      <c r="B195" s="162"/>
      <c r="C195" s="162" t="s">
        <v>653</v>
      </c>
      <c r="D195" s="160"/>
      <c r="E195" s="162" t="s">
        <v>654</v>
      </c>
      <c r="F195" s="140" t="s">
        <v>195</v>
      </c>
      <c r="G195" s="136">
        <f>181.65/1.2</f>
        <v>151.375</v>
      </c>
      <c r="H195" s="136"/>
      <c r="I195" s="136"/>
      <c r="J195" s="79">
        <f>G195+H195+I195</f>
        <v>151.375</v>
      </c>
      <c r="K195" s="79">
        <f t="shared" si="44"/>
        <v>15.1375</v>
      </c>
      <c r="L195" s="101">
        <f>ROUND((J195+K195),0)</f>
        <v>167</v>
      </c>
      <c r="M195" s="138"/>
      <c r="N195" s="57">
        <f>+R195/L195*G195</f>
        <v>108.77245508982</v>
      </c>
      <c r="O195" s="57">
        <f>+R195/L195*H195</f>
        <v>0</v>
      </c>
      <c r="P195" s="57">
        <f>+R195/L195*I195</f>
        <v>0</v>
      </c>
      <c r="Q195" s="57">
        <f t="shared" si="38"/>
        <v>108.77245508982</v>
      </c>
      <c r="R195" s="102">
        <v>120</v>
      </c>
      <c r="S195" s="59"/>
    </row>
    <row r="196" ht="13.5" customHeight="1" spans="1:19">
      <c r="A196" s="165"/>
      <c r="B196" s="166" t="s">
        <v>655</v>
      </c>
      <c r="C196" s="166"/>
      <c r="D196" s="139"/>
      <c r="E196" s="139"/>
      <c r="F196" s="140"/>
      <c r="G196" s="136"/>
      <c r="H196" s="136"/>
      <c r="I196" s="136"/>
      <c r="J196" s="136"/>
      <c r="K196" s="79">
        <f t="shared" si="44"/>
        <v>0</v>
      </c>
      <c r="L196" s="167"/>
      <c r="M196" s="138"/>
      <c r="N196" s="57"/>
      <c r="O196" s="57"/>
      <c r="P196" s="57"/>
      <c r="Q196" s="57">
        <f t="shared" si="38"/>
        <v>0</v>
      </c>
      <c r="R196" s="102"/>
      <c r="S196" s="59"/>
    </row>
    <row r="197" ht="61.5" customHeight="1" spans="1:19">
      <c r="A197" s="168" t="s">
        <v>656</v>
      </c>
      <c r="B197" s="139"/>
      <c r="C197" s="70" t="s">
        <v>657</v>
      </c>
      <c r="D197" s="104" t="s">
        <v>658</v>
      </c>
      <c r="E197" s="71" t="s">
        <v>659</v>
      </c>
      <c r="F197" s="104" t="s">
        <v>24</v>
      </c>
      <c r="G197" s="136">
        <f>79.8/1.2</f>
        <v>66.5</v>
      </c>
      <c r="H197" s="136"/>
      <c r="I197" s="136"/>
      <c r="J197" s="79">
        <f>G197+H197+I197</f>
        <v>66.5</v>
      </c>
      <c r="K197" s="79">
        <f t="shared" si="44"/>
        <v>6.65</v>
      </c>
      <c r="L197" s="101">
        <f>ROUND((J197+K197),0)</f>
        <v>73</v>
      </c>
      <c r="M197" s="138"/>
      <c r="N197" s="57">
        <f>+R197/L197*G197</f>
        <v>68.3219178082192</v>
      </c>
      <c r="O197" s="57">
        <f>+R197/L197*H197</f>
        <v>0</v>
      </c>
      <c r="P197" s="57">
        <f>+R197/L197*I197</f>
        <v>0</v>
      </c>
      <c r="Q197" s="57">
        <f t="shared" si="38"/>
        <v>68.3219178082192</v>
      </c>
      <c r="R197" s="102">
        <v>75</v>
      </c>
      <c r="S197" s="59"/>
    </row>
    <row r="198" ht="61.5" customHeight="1" spans="1:19">
      <c r="A198" s="168" t="s">
        <v>660</v>
      </c>
      <c r="B198" s="139"/>
      <c r="C198" s="70"/>
      <c r="D198" s="104" t="s">
        <v>661</v>
      </c>
      <c r="E198" s="71"/>
      <c r="F198" s="104" t="s">
        <v>24</v>
      </c>
      <c r="G198" s="136">
        <f>133.4025/1.2</f>
        <v>111.16875</v>
      </c>
      <c r="H198" s="136"/>
      <c r="I198" s="136"/>
      <c r="J198" s="79">
        <f>G198+H198+I198</f>
        <v>111.16875</v>
      </c>
      <c r="K198" s="79">
        <f t="shared" si="44"/>
        <v>11.116875</v>
      </c>
      <c r="L198" s="101">
        <f>ROUND((J198+K198),0)</f>
        <v>122</v>
      </c>
      <c r="M198" s="138"/>
      <c r="N198" s="57">
        <f>+R198/L198*G198</f>
        <v>100.234118852459</v>
      </c>
      <c r="O198" s="57">
        <f>+R198/L198*H198</f>
        <v>0</v>
      </c>
      <c r="P198" s="57">
        <f>+R198/L198*I198</f>
        <v>0</v>
      </c>
      <c r="Q198" s="57">
        <f t="shared" si="38"/>
        <v>100.234118852459</v>
      </c>
      <c r="R198" s="102">
        <v>110</v>
      </c>
      <c r="S198" s="59"/>
    </row>
    <row r="199" ht="61.5" customHeight="1" spans="1:19">
      <c r="A199" s="168" t="s">
        <v>662</v>
      </c>
      <c r="B199" s="139"/>
      <c r="C199" s="70"/>
      <c r="D199" s="104" t="s">
        <v>663</v>
      </c>
      <c r="E199" s="71"/>
      <c r="F199" s="104" t="s">
        <v>24</v>
      </c>
      <c r="G199" s="136">
        <f>157.6575/1.2</f>
        <v>131.38125</v>
      </c>
      <c r="H199" s="136"/>
      <c r="I199" s="136"/>
      <c r="J199" s="79">
        <f>G199+H199+I199</f>
        <v>131.38125</v>
      </c>
      <c r="K199" s="79">
        <f t="shared" si="44"/>
        <v>13.138125</v>
      </c>
      <c r="L199" s="101">
        <f>ROUND((J199+K199),0)</f>
        <v>145</v>
      </c>
      <c r="M199" s="138"/>
      <c r="N199" s="57">
        <f>+R199/L199*G199</f>
        <v>113.259698275862</v>
      </c>
      <c r="O199" s="57">
        <f>+R199/L199*H199</f>
        <v>0</v>
      </c>
      <c r="P199" s="57">
        <f>+R199/L199*I199</f>
        <v>0</v>
      </c>
      <c r="Q199" s="57">
        <f>SUM(N199:P199)</f>
        <v>113.259698275862</v>
      </c>
      <c r="R199" s="102">
        <v>125</v>
      </c>
      <c r="S199" s="59"/>
    </row>
    <row r="200" ht="61.5" customHeight="1" spans="1:19">
      <c r="A200" s="168" t="s">
        <v>664</v>
      </c>
      <c r="B200" s="139"/>
      <c r="C200" s="70"/>
      <c r="D200" s="104" t="s">
        <v>665</v>
      </c>
      <c r="E200" s="71"/>
      <c r="F200" s="104" t="s">
        <v>24</v>
      </c>
      <c r="G200" s="136">
        <f>200/1.2</f>
        <v>166.666666666667</v>
      </c>
      <c r="H200" s="136"/>
      <c r="I200" s="136"/>
      <c r="J200" s="79">
        <f>G200+H200+I200</f>
        <v>166.666666666667</v>
      </c>
      <c r="K200" s="79">
        <f t="shared" si="44"/>
        <v>16.6666666666667</v>
      </c>
      <c r="L200" s="101">
        <f>ROUND((J200+K200),0)</f>
        <v>183</v>
      </c>
      <c r="M200" s="138"/>
      <c r="N200" s="57">
        <f>+R200/L200*G200</f>
        <v>145.719489981785</v>
      </c>
      <c r="O200" s="57">
        <f>+R200/L200*H200</f>
        <v>0</v>
      </c>
      <c r="P200" s="57">
        <f>+R200/L200*I200</f>
        <v>0</v>
      </c>
      <c r="Q200" s="57">
        <f>SUM(N200:P200)</f>
        <v>145.719489981785</v>
      </c>
      <c r="R200" s="102">
        <v>160</v>
      </c>
      <c r="S200" s="59"/>
    </row>
    <row r="201" ht="14.5" spans="1:19">
      <c r="A201" s="168" t="s">
        <v>666</v>
      </c>
      <c r="B201" s="139"/>
      <c r="C201" s="70" t="s">
        <v>667</v>
      </c>
      <c r="D201" s="139"/>
      <c r="E201" s="71"/>
      <c r="F201" s="104" t="s">
        <v>24</v>
      </c>
      <c r="G201" s="136">
        <f>90/1.2</f>
        <v>75</v>
      </c>
      <c r="H201" s="136"/>
      <c r="I201" s="136"/>
      <c r="J201" s="79">
        <f>G201+H201+I201</f>
        <v>75</v>
      </c>
      <c r="K201" s="79">
        <f t="shared" si="44"/>
        <v>7.5</v>
      </c>
      <c r="L201" s="101">
        <f>ROUND((J201+K201),0)</f>
        <v>83</v>
      </c>
      <c r="M201" s="138"/>
      <c r="N201" s="57">
        <f>+R201/L201*G201</f>
        <v>72.289156626506</v>
      </c>
      <c r="O201" s="57">
        <f>+R201/L201*H201</f>
        <v>0</v>
      </c>
      <c r="P201" s="57">
        <f>+R201/L201*I201</f>
        <v>0</v>
      </c>
      <c r="Q201" s="57">
        <f>SUM(N201:P201)</f>
        <v>72.289156626506</v>
      </c>
      <c r="R201" s="102">
        <v>80</v>
      </c>
      <c r="S201" s="59"/>
    </row>
    <row r="202" ht="42" spans="1:19">
      <c r="A202" s="168" t="s">
        <v>668</v>
      </c>
      <c r="B202" s="139"/>
      <c r="C202" s="104" t="s">
        <v>669</v>
      </c>
      <c r="D202" s="104"/>
      <c r="E202" s="162" t="s">
        <v>670</v>
      </c>
      <c r="F202" s="104"/>
      <c r="G202" s="136"/>
      <c r="H202" s="136"/>
      <c r="I202" s="136"/>
      <c r="J202" s="136"/>
      <c r="K202" s="79"/>
      <c r="L202" s="137"/>
      <c r="M202" s="138"/>
      <c r="N202" s="57"/>
      <c r="O202" s="57"/>
      <c r="P202" s="57"/>
      <c r="Q202" s="57"/>
      <c r="R202" s="58"/>
      <c r="S202" s="59"/>
    </row>
    <row r="203" customHeight="1" spans="1:19">
      <c r="A203" s="165"/>
      <c r="B203" s="169" t="s">
        <v>671</v>
      </c>
      <c r="C203" s="170"/>
      <c r="D203" s="157"/>
      <c r="E203" s="157"/>
      <c r="F203" s="157"/>
      <c r="G203" s="157"/>
      <c r="H203" s="136"/>
      <c r="I203" s="136"/>
      <c r="J203" s="136"/>
      <c r="K203" s="79"/>
      <c r="L203" s="137"/>
      <c r="M203" s="138"/>
      <c r="N203" s="57"/>
      <c r="O203" s="57"/>
      <c r="P203" s="57"/>
      <c r="Q203" s="57"/>
      <c r="R203" s="58"/>
      <c r="S203" s="59"/>
    </row>
    <row r="204" ht="43.5" spans="1:19">
      <c r="A204" s="168" t="s">
        <v>672</v>
      </c>
      <c r="B204" s="104" t="s">
        <v>673</v>
      </c>
      <c r="C204" s="104"/>
      <c r="D204" s="71"/>
      <c r="E204" s="71" t="s">
        <v>674</v>
      </c>
      <c r="F204" s="55"/>
      <c r="G204" s="55"/>
      <c r="H204" s="136"/>
      <c r="I204" s="136"/>
      <c r="J204" s="136"/>
      <c r="K204" s="79"/>
      <c r="L204" s="101">
        <f>ROUND((J204+K204),0)</f>
        <v>0</v>
      </c>
      <c r="M204" s="138"/>
      <c r="N204" s="57"/>
      <c r="O204" s="57"/>
      <c r="P204" s="57"/>
      <c r="Q204" s="57"/>
      <c r="R204" s="58"/>
      <c r="S204" s="59"/>
    </row>
    <row r="205" spans="1:19">
      <c r="A205" s="168" t="s">
        <v>675</v>
      </c>
      <c r="B205" s="109" t="s">
        <v>676</v>
      </c>
      <c r="C205" s="109"/>
      <c r="D205" s="71"/>
      <c r="E205" s="71"/>
      <c r="F205" s="55"/>
      <c r="G205" s="55"/>
      <c r="H205" s="136"/>
      <c r="I205" s="136"/>
      <c r="J205" s="136"/>
      <c r="K205" s="79"/>
      <c r="L205" s="137"/>
      <c r="M205" s="138"/>
      <c r="N205" s="57"/>
      <c r="O205" s="57"/>
      <c r="P205" s="57"/>
      <c r="Q205" s="57"/>
      <c r="R205" s="58"/>
      <c r="S205" s="59"/>
    </row>
    <row r="206" ht="29" spans="1:19">
      <c r="A206" s="168" t="s">
        <v>677</v>
      </c>
      <c r="B206" s="104" t="s">
        <v>678</v>
      </c>
      <c r="C206" s="104"/>
      <c r="D206" s="71"/>
      <c r="E206" s="71"/>
      <c r="F206" s="55"/>
      <c r="G206" s="55"/>
      <c r="H206" s="136"/>
      <c r="I206" s="136"/>
      <c r="J206" s="136"/>
      <c r="K206" s="79"/>
      <c r="L206" s="137"/>
      <c r="M206" s="138"/>
      <c r="N206" s="57"/>
      <c r="O206" s="57"/>
      <c r="P206" s="57"/>
      <c r="Q206" s="57"/>
      <c r="R206" s="58"/>
      <c r="S206" s="59"/>
    </row>
    <row r="207" s="14" customFormat="1" ht="33.75" customHeight="1" spans="1:19">
      <c r="A207" s="80" t="s">
        <v>679</v>
      </c>
      <c r="B207" s="81"/>
      <c r="C207" s="82"/>
      <c r="D207" s="83"/>
      <c r="E207" s="83"/>
      <c r="F207" s="83"/>
      <c r="G207" s="83"/>
      <c r="H207" s="83"/>
      <c r="I207" s="83"/>
      <c r="J207" s="83"/>
      <c r="K207" s="83"/>
      <c r="L207" s="83"/>
      <c r="M207" s="84"/>
      <c r="N207" s="57"/>
      <c r="O207" s="57"/>
      <c r="P207" s="57"/>
      <c r="Q207" s="57"/>
      <c r="R207" s="171"/>
      <c r="S207" s="86"/>
    </row>
    <row r="208" spans="1:19">
      <c r="A208" s="172"/>
      <c r="B208" s="166" t="s">
        <v>680</v>
      </c>
      <c r="C208" s="166"/>
      <c r="D208" s="139"/>
      <c r="E208" s="139"/>
      <c r="F208" s="140"/>
      <c r="G208" s="136"/>
      <c r="H208" s="136"/>
      <c r="I208" s="136"/>
      <c r="J208" s="136"/>
      <c r="K208" s="136"/>
      <c r="L208" s="137"/>
      <c r="M208" s="138"/>
      <c r="N208" s="57"/>
      <c r="O208" s="57"/>
      <c r="P208" s="57"/>
      <c r="Q208" s="57"/>
      <c r="R208" s="58"/>
      <c r="S208" s="59"/>
    </row>
    <row r="209" ht="39.75" customHeight="1" spans="1:19">
      <c r="A209" s="87" t="s">
        <v>681</v>
      </c>
      <c r="B209" s="63" t="s">
        <v>682</v>
      </c>
      <c r="C209" s="63" t="s">
        <v>683</v>
      </c>
      <c r="D209" s="69"/>
      <c r="E209" s="70" t="s">
        <v>684</v>
      </c>
      <c r="F209" s="69" t="s">
        <v>531</v>
      </c>
      <c r="G209" s="173"/>
      <c r="H209" s="173">
        <f>1540/1.2</f>
        <v>1283.33333333333</v>
      </c>
      <c r="I209" s="173"/>
      <c r="J209" s="79">
        <f t="shared" ref="J209:J221" si="55">G209+H209+I209</f>
        <v>1283.33333333333</v>
      </c>
      <c r="K209" s="79">
        <f>J209*0.1</f>
        <v>128.333333333333</v>
      </c>
      <c r="L209" s="101">
        <f t="shared" ref="L209:L221" si="56">ROUND((J209+K209),0)</f>
        <v>1412</v>
      </c>
      <c r="M209" s="174" t="s">
        <v>685</v>
      </c>
      <c r="N209" s="57">
        <f t="shared" ref="N209:N214" si="57">+R209/L209*G209</f>
        <v>0</v>
      </c>
      <c r="O209" s="57">
        <f t="shared" ref="O209:O214" si="58">+R209/L209*H209</f>
        <v>0</v>
      </c>
      <c r="P209" s="57">
        <f t="shared" ref="P209:P214" si="59">+R209/L209*I209</f>
        <v>0</v>
      </c>
      <c r="Q209" s="57">
        <f t="shared" ref="Q209:Q221" si="60">SUM(N209:P209)</f>
        <v>0</v>
      </c>
      <c r="R209" s="102"/>
      <c r="S209" s="59"/>
    </row>
    <row r="210" ht="39.75" customHeight="1" spans="1:19">
      <c r="A210" s="87" t="s">
        <v>686</v>
      </c>
      <c r="B210" s="63" t="s">
        <v>687</v>
      </c>
      <c r="C210" s="63" t="s">
        <v>688</v>
      </c>
      <c r="D210" s="69"/>
      <c r="E210" s="70"/>
      <c r="F210" s="69" t="s">
        <v>531</v>
      </c>
      <c r="G210" s="173"/>
      <c r="H210" s="173">
        <f>2750/1.2</f>
        <v>2291.66666666667</v>
      </c>
      <c r="I210" s="173"/>
      <c r="J210" s="79">
        <f t="shared" si="55"/>
        <v>2291.66666666667</v>
      </c>
      <c r="K210" s="79">
        <f t="shared" ref="K210:K232" si="61">J210*0.1</f>
        <v>229.166666666667</v>
      </c>
      <c r="L210" s="101">
        <f t="shared" si="56"/>
        <v>2521</v>
      </c>
      <c r="M210" s="174" t="s">
        <v>685</v>
      </c>
      <c r="N210" s="57">
        <f t="shared" si="57"/>
        <v>0</v>
      </c>
      <c r="O210" s="57">
        <f t="shared" si="58"/>
        <v>0</v>
      </c>
      <c r="P210" s="57">
        <f t="shared" si="59"/>
        <v>0</v>
      </c>
      <c r="Q210" s="57">
        <f t="shared" si="60"/>
        <v>0</v>
      </c>
      <c r="R210" s="102"/>
      <c r="S210" s="59"/>
    </row>
    <row r="211" ht="39.75" customHeight="1" spans="1:19">
      <c r="A211" s="87" t="s">
        <v>689</v>
      </c>
      <c r="B211" s="63" t="s">
        <v>690</v>
      </c>
      <c r="C211" s="63" t="s">
        <v>691</v>
      </c>
      <c r="D211" s="69"/>
      <c r="E211" s="70"/>
      <c r="F211" s="69" t="s">
        <v>531</v>
      </c>
      <c r="G211" s="173"/>
      <c r="H211" s="173">
        <f>2530/1.2</f>
        <v>2108.33333333333</v>
      </c>
      <c r="I211" s="173"/>
      <c r="J211" s="79">
        <f t="shared" si="55"/>
        <v>2108.33333333333</v>
      </c>
      <c r="K211" s="79">
        <f t="shared" si="61"/>
        <v>210.833333333333</v>
      </c>
      <c r="L211" s="101">
        <f t="shared" si="56"/>
        <v>2319</v>
      </c>
      <c r="M211" s="174" t="s">
        <v>685</v>
      </c>
      <c r="N211" s="57">
        <f t="shared" si="57"/>
        <v>0</v>
      </c>
      <c r="O211" s="57">
        <f t="shared" si="58"/>
        <v>0</v>
      </c>
      <c r="P211" s="57">
        <f t="shared" si="59"/>
        <v>0</v>
      </c>
      <c r="Q211" s="57">
        <f t="shared" si="60"/>
        <v>0</v>
      </c>
      <c r="R211" s="102"/>
      <c r="S211" s="59"/>
    </row>
    <row r="212" ht="39.75" customHeight="1" spans="1:19">
      <c r="A212" s="87" t="s">
        <v>692</v>
      </c>
      <c r="B212" s="63" t="s">
        <v>693</v>
      </c>
      <c r="C212" s="63" t="s">
        <v>694</v>
      </c>
      <c r="D212" s="69"/>
      <c r="E212" s="70"/>
      <c r="F212" s="69" t="s">
        <v>531</v>
      </c>
      <c r="G212" s="173"/>
      <c r="H212" s="173">
        <f>1980/1.2</f>
        <v>1650</v>
      </c>
      <c r="I212" s="173"/>
      <c r="J212" s="79">
        <f t="shared" si="55"/>
        <v>1650</v>
      </c>
      <c r="K212" s="79">
        <f t="shared" si="61"/>
        <v>165</v>
      </c>
      <c r="L212" s="101">
        <f t="shared" si="56"/>
        <v>1815</v>
      </c>
      <c r="M212" s="174" t="s">
        <v>685</v>
      </c>
      <c r="N212" s="57">
        <f t="shared" si="57"/>
        <v>0</v>
      </c>
      <c r="O212" s="57">
        <f t="shared" si="58"/>
        <v>0</v>
      </c>
      <c r="P212" s="57">
        <f t="shared" si="59"/>
        <v>0</v>
      </c>
      <c r="Q212" s="57">
        <f t="shared" si="60"/>
        <v>0</v>
      </c>
      <c r="R212" s="102"/>
      <c r="S212" s="59"/>
    </row>
    <row r="213" ht="39.75" customHeight="1" spans="1:19">
      <c r="A213" s="87" t="s">
        <v>695</v>
      </c>
      <c r="B213" s="63" t="s">
        <v>696</v>
      </c>
      <c r="C213" s="63" t="s">
        <v>697</v>
      </c>
      <c r="D213" s="69"/>
      <c r="E213" s="70"/>
      <c r="F213" s="69" t="s">
        <v>531</v>
      </c>
      <c r="G213" s="173"/>
      <c r="H213" s="173">
        <f>660/1.2</f>
        <v>550</v>
      </c>
      <c r="I213" s="173"/>
      <c r="J213" s="79">
        <f t="shared" si="55"/>
        <v>550</v>
      </c>
      <c r="K213" s="79">
        <f t="shared" si="61"/>
        <v>55</v>
      </c>
      <c r="L213" s="101">
        <f t="shared" si="56"/>
        <v>605</v>
      </c>
      <c r="M213" s="174" t="s">
        <v>685</v>
      </c>
      <c r="N213" s="57">
        <f t="shared" si="57"/>
        <v>0</v>
      </c>
      <c r="O213" s="57">
        <f t="shared" si="58"/>
        <v>0</v>
      </c>
      <c r="P213" s="57">
        <f t="shared" si="59"/>
        <v>0</v>
      </c>
      <c r="Q213" s="57">
        <f t="shared" si="60"/>
        <v>0</v>
      </c>
      <c r="R213" s="102"/>
      <c r="S213" s="59"/>
    </row>
    <row r="214" ht="39.75" customHeight="1" spans="1:19">
      <c r="A214" s="87" t="s">
        <v>698</v>
      </c>
      <c r="B214" s="63" t="s">
        <v>696</v>
      </c>
      <c r="C214" s="63" t="s">
        <v>697</v>
      </c>
      <c r="D214" s="69"/>
      <c r="E214" s="70"/>
      <c r="F214" s="69" t="s">
        <v>531</v>
      </c>
      <c r="G214" s="173"/>
      <c r="H214" s="173">
        <f>990/1.2</f>
        <v>825</v>
      </c>
      <c r="I214" s="173"/>
      <c r="J214" s="79">
        <f t="shared" si="55"/>
        <v>825</v>
      </c>
      <c r="K214" s="79">
        <f t="shared" si="61"/>
        <v>82.5</v>
      </c>
      <c r="L214" s="101">
        <f t="shared" si="56"/>
        <v>908</v>
      </c>
      <c r="M214" s="174" t="s">
        <v>685</v>
      </c>
      <c r="N214" s="57">
        <f t="shared" si="57"/>
        <v>0</v>
      </c>
      <c r="O214" s="57">
        <f t="shared" si="58"/>
        <v>0</v>
      </c>
      <c r="P214" s="57">
        <f t="shared" si="59"/>
        <v>0</v>
      </c>
      <c r="Q214" s="57">
        <f t="shared" si="60"/>
        <v>0</v>
      </c>
      <c r="R214" s="102"/>
      <c r="S214" s="59"/>
    </row>
    <row r="215" ht="29" spans="1:19">
      <c r="A215" s="87" t="s">
        <v>699</v>
      </c>
      <c r="B215" s="70" t="s">
        <v>700</v>
      </c>
      <c r="C215" s="70" t="s">
        <v>694</v>
      </c>
      <c r="D215" s="69"/>
      <c r="E215" s="69" t="s">
        <v>701</v>
      </c>
      <c r="F215" s="69" t="s">
        <v>531</v>
      </c>
      <c r="G215" s="173"/>
      <c r="H215" s="173">
        <f>329.6315/1.2</f>
        <v>274.692916666667</v>
      </c>
      <c r="I215" s="173"/>
      <c r="J215" s="79">
        <f t="shared" si="55"/>
        <v>274.692916666667</v>
      </c>
      <c r="K215" s="79">
        <f t="shared" si="61"/>
        <v>27.4692916666667</v>
      </c>
      <c r="L215" s="101">
        <f t="shared" si="56"/>
        <v>302</v>
      </c>
      <c r="M215" s="174" t="s">
        <v>370</v>
      </c>
      <c r="N215" s="175">
        <v>180</v>
      </c>
      <c r="O215" s="175">
        <v>0</v>
      </c>
      <c r="P215" s="175">
        <f>0.2*5*40</f>
        <v>40</v>
      </c>
      <c r="Q215" s="57">
        <f t="shared" si="60"/>
        <v>220</v>
      </c>
      <c r="R215" s="102"/>
      <c r="S215" s="59"/>
    </row>
    <row r="216" ht="29" spans="1:19">
      <c r="A216" s="87" t="s">
        <v>702</v>
      </c>
      <c r="B216" s="70" t="s">
        <v>703</v>
      </c>
      <c r="C216" s="70" t="s">
        <v>704</v>
      </c>
      <c r="D216" s="69"/>
      <c r="E216" s="69" t="s">
        <v>701</v>
      </c>
      <c r="F216" s="69" t="s">
        <v>531</v>
      </c>
      <c r="G216" s="173"/>
      <c r="H216" s="173">
        <f>372.2565/1.2</f>
        <v>310.21375</v>
      </c>
      <c r="I216" s="173"/>
      <c r="J216" s="79">
        <f t="shared" si="55"/>
        <v>310.21375</v>
      </c>
      <c r="K216" s="79">
        <f t="shared" si="61"/>
        <v>31.021375</v>
      </c>
      <c r="L216" s="101">
        <f t="shared" si="56"/>
        <v>341</v>
      </c>
      <c r="M216" s="174" t="s">
        <v>370</v>
      </c>
      <c r="N216" s="175">
        <v>200</v>
      </c>
      <c r="O216" s="175">
        <v>0</v>
      </c>
      <c r="P216" s="175">
        <v>55</v>
      </c>
      <c r="Q216" s="57">
        <f t="shared" si="60"/>
        <v>255</v>
      </c>
      <c r="R216" s="102"/>
      <c r="S216" s="59"/>
    </row>
    <row r="217" ht="43.5" spans="1:19">
      <c r="A217" s="87" t="s">
        <v>705</v>
      </c>
      <c r="B217" s="70" t="s">
        <v>706</v>
      </c>
      <c r="C217" s="70" t="s">
        <v>707</v>
      </c>
      <c r="D217" s="69"/>
      <c r="E217" s="63" t="s">
        <v>708</v>
      </c>
      <c r="F217" s="69" t="s">
        <v>531</v>
      </c>
      <c r="G217" s="173">
        <v>25</v>
      </c>
      <c r="H217" s="173">
        <v>17</v>
      </c>
      <c r="I217" s="79"/>
      <c r="J217" s="79">
        <f t="shared" si="55"/>
        <v>42</v>
      </c>
      <c r="K217" s="79">
        <f t="shared" si="61"/>
        <v>4.2</v>
      </c>
      <c r="L217" s="101">
        <f t="shared" si="56"/>
        <v>46</v>
      </c>
      <c r="M217" s="176" t="s">
        <v>709</v>
      </c>
      <c r="N217" s="57">
        <f>+R217/L217*G217</f>
        <v>0</v>
      </c>
      <c r="O217" s="57">
        <f>+R217/L217*H217</f>
        <v>0</v>
      </c>
      <c r="P217" s="57">
        <f>+R217/L217*I217</f>
        <v>0</v>
      </c>
      <c r="Q217" s="57">
        <f t="shared" si="60"/>
        <v>0</v>
      </c>
      <c r="R217" s="102"/>
      <c r="S217" s="59"/>
    </row>
    <row r="218" ht="43.5" spans="1:19">
      <c r="A218" s="87" t="s">
        <v>710</v>
      </c>
      <c r="B218" s="70" t="s">
        <v>711</v>
      </c>
      <c r="C218" s="70" t="s">
        <v>712</v>
      </c>
      <c r="D218" s="69"/>
      <c r="E218" s="63" t="s">
        <v>708</v>
      </c>
      <c r="F218" s="69" t="s">
        <v>531</v>
      </c>
      <c r="G218" s="173">
        <v>42</v>
      </c>
      <c r="H218" s="173">
        <v>25</v>
      </c>
      <c r="I218" s="173"/>
      <c r="J218" s="79">
        <f t="shared" si="55"/>
        <v>67</v>
      </c>
      <c r="K218" s="79">
        <f t="shared" si="61"/>
        <v>6.7</v>
      </c>
      <c r="L218" s="101">
        <f t="shared" si="56"/>
        <v>74</v>
      </c>
      <c r="M218" s="176" t="s">
        <v>709</v>
      </c>
      <c r="N218" s="57">
        <f>+R218/L218*G218</f>
        <v>0</v>
      </c>
      <c r="O218" s="57">
        <f>+R218/L218*H218</f>
        <v>0</v>
      </c>
      <c r="P218" s="57">
        <f>+R218/L218*I218</f>
        <v>0</v>
      </c>
      <c r="Q218" s="57">
        <f t="shared" si="60"/>
        <v>0</v>
      </c>
      <c r="R218" s="102"/>
      <c r="S218" s="59"/>
    </row>
    <row r="219" ht="43.5" spans="1:19">
      <c r="A219" s="87" t="s">
        <v>713</v>
      </c>
      <c r="B219" s="70" t="s">
        <v>714</v>
      </c>
      <c r="C219" s="70" t="s">
        <v>707</v>
      </c>
      <c r="D219" s="69"/>
      <c r="E219" s="63" t="s">
        <v>708</v>
      </c>
      <c r="F219" s="69" t="s">
        <v>531</v>
      </c>
      <c r="G219" s="173">
        <v>50</v>
      </c>
      <c r="H219" s="173">
        <v>50</v>
      </c>
      <c r="I219" s="173"/>
      <c r="J219" s="79">
        <f t="shared" si="55"/>
        <v>100</v>
      </c>
      <c r="K219" s="79">
        <f t="shared" si="61"/>
        <v>10</v>
      </c>
      <c r="L219" s="101">
        <f t="shared" si="56"/>
        <v>110</v>
      </c>
      <c r="M219" s="176" t="s">
        <v>709</v>
      </c>
      <c r="N219" s="57">
        <f>+R219/L219*G219</f>
        <v>0</v>
      </c>
      <c r="O219" s="57">
        <f>+R219/L219*H219</f>
        <v>0</v>
      </c>
      <c r="P219" s="57">
        <f>+R219/L219*I219</f>
        <v>0</v>
      </c>
      <c r="Q219" s="57">
        <f t="shared" si="60"/>
        <v>0</v>
      </c>
      <c r="R219" s="58"/>
      <c r="S219" s="59"/>
    </row>
    <row r="220" ht="43.5" spans="1:19">
      <c r="A220" s="87" t="s">
        <v>715</v>
      </c>
      <c r="B220" s="70" t="s">
        <v>716</v>
      </c>
      <c r="C220" s="70" t="s">
        <v>712</v>
      </c>
      <c r="D220" s="69"/>
      <c r="E220" s="63" t="s">
        <v>708</v>
      </c>
      <c r="F220" s="69" t="s">
        <v>531</v>
      </c>
      <c r="G220" s="173">
        <v>70</v>
      </c>
      <c r="H220" s="173">
        <v>55</v>
      </c>
      <c r="I220" s="173"/>
      <c r="J220" s="79">
        <f t="shared" si="55"/>
        <v>125</v>
      </c>
      <c r="K220" s="79">
        <f t="shared" si="61"/>
        <v>12.5</v>
      </c>
      <c r="L220" s="101">
        <f t="shared" si="56"/>
        <v>138</v>
      </c>
      <c r="M220" s="176" t="s">
        <v>709</v>
      </c>
      <c r="N220" s="57">
        <f>+R220/L220*G220</f>
        <v>0</v>
      </c>
      <c r="O220" s="57">
        <f>+R220/L220*H220</f>
        <v>0</v>
      </c>
      <c r="P220" s="57">
        <f>+R220/L220*I220</f>
        <v>0</v>
      </c>
      <c r="Q220" s="57">
        <f t="shared" si="60"/>
        <v>0</v>
      </c>
      <c r="R220" s="58"/>
      <c r="S220" s="59"/>
    </row>
    <row r="221" ht="43.5" spans="1:19">
      <c r="A221" s="87" t="s">
        <v>717</v>
      </c>
      <c r="B221" s="63" t="s">
        <v>718</v>
      </c>
      <c r="C221" s="63" t="s">
        <v>719</v>
      </c>
      <c r="D221" s="69"/>
      <c r="E221" s="63" t="s">
        <v>720</v>
      </c>
      <c r="F221" s="69" t="s">
        <v>531</v>
      </c>
      <c r="G221" s="173">
        <v>165.088</v>
      </c>
      <c r="H221" s="173">
        <v>154.770525</v>
      </c>
      <c r="I221" s="173">
        <v>15</v>
      </c>
      <c r="J221" s="79">
        <f t="shared" si="55"/>
        <v>334.858525</v>
      </c>
      <c r="K221" s="79">
        <f t="shared" si="61"/>
        <v>33.4858525</v>
      </c>
      <c r="L221" s="101">
        <f t="shared" si="56"/>
        <v>368</v>
      </c>
      <c r="M221" s="176" t="s">
        <v>709</v>
      </c>
      <c r="N221" s="57">
        <f>+R221/L221*G221</f>
        <v>0</v>
      </c>
      <c r="O221" s="57">
        <f>+R221/L221*H221</f>
        <v>0</v>
      </c>
      <c r="P221" s="57">
        <f>+R221/L221*I221</f>
        <v>0</v>
      </c>
      <c r="Q221" s="57">
        <f t="shared" si="60"/>
        <v>0</v>
      </c>
      <c r="R221" s="102"/>
      <c r="S221" s="59"/>
    </row>
    <row r="222" ht="14.5" spans="1:19">
      <c r="A222" s="177"/>
      <c r="B222" s="178" t="s">
        <v>721</v>
      </c>
      <c r="C222" s="178"/>
      <c r="D222" s="179"/>
      <c r="E222" s="179"/>
      <c r="F222" s="180"/>
      <c r="G222" s="173"/>
      <c r="H222" s="173"/>
      <c r="I222" s="173"/>
      <c r="J222" s="173"/>
      <c r="K222" s="79">
        <f t="shared" si="61"/>
        <v>0</v>
      </c>
      <c r="L222" s="101"/>
      <c r="M222" s="181"/>
      <c r="N222" s="57"/>
      <c r="O222" s="57"/>
      <c r="P222" s="57"/>
      <c r="Q222" s="57"/>
      <c r="R222" s="58"/>
      <c r="S222" s="59"/>
    </row>
    <row r="223" ht="39" spans="1:19">
      <c r="A223" s="182" t="s">
        <v>722</v>
      </c>
      <c r="B223" s="183" t="s">
        <v>723</v>
      </c>
      <c r="C223" s="183" t="s">
        <v>724</v>
      </c>
      <c r="D223" s="183"/>
      <c r="E223" s="183" t="s">
        <v>725</v>
      </c>
      <c r="F223" s="184" t="s">
        <v>47</v>
      </c>
      <c r="G223" s="173">
        <v>99.008</v>
      </c>
      <c r="H223" s="173">
        <v>123.98925</v>
      </c>
      <c r="I223" s="173">
        <v>15</v>
      </c>
      <c r="J223" s="79">
        <f>G223+H223+I223</f>
        <v>237.99725</v>
      </c>
      <c r="K223" s="79">
        <f t="shared" si="61"/>
        <v>23.799725</v>
      </c>
      <c r="L223" s="101">
        <f>ROUND((J223+K223),0)</f>
        <v>262</v>
      </c>
      <c r="M223" s="181"/>
      <c r="N223" s="185"/>
      <c r="O223" s="185"/>
      <c r="P223" s="185"/>
      <c r="Q223" s="185"/>
      <c r="R223" s="102"/>
      <c r="S223" s="59" t="s">
        <v>726</v>
      </c>
    </row>
    <row r="224" ht="39" spans="1:19">
      <c r="A224" s="182" t="s">
        <v>727</v>
      </c>
      <c r="B224" s="183" t="s">
        <v>728</v>
      </c>
      <c r="C224" s="183" t="s">
        <v>724</v>
      </c>
      <c r="D224" s="183"/>
      <c r="E224" s="183" t="s">
        <v>725</v>
      </c>
      <c r="F224" s="184" t="s">
        <v>47</v>
      </c>
      <c r="G224" s="173">
        <v>99.008</v>
      </c>
      <c r="H224" s="173">
        <v>172.72794</v>
      </c>
      <c r="I224" s="173">
        <v>15</v>
      </c>
      <c r="J224" s="79">
        <f>G224+H224+I224</f>
        <v>286.73594</v>
      </c>
      <c r="K224" s="79">
        <f t="shared" si="61"/>
        <v>28.673594</v>
      </c>
      <c r="L224" s="101">
        <f>ROUND((J224+K224),0)</f>
        <v>315</v>
      </c>
      <c r="M224" s="181"/>
      <c r="N224" s="186"/>
      <c r="O224" s="186"/>
      <c r="P224" s="186"/>
      <c r="Q224" s="186"/>
      <c r="R224" s="102"/>
      <c r="S224" s="59" t="s">
        <v>726</v>
      </c>
    </row>
    <row r="225" ht="39" spans="1:19">
      <c r="A225" s="182" t="s">
        <v>729</v>
      </c>
      <c r="B225" s="183" t="s">
        <v>730</v>
      </c>
      <c r="C225" s="183" t="s">
        <v>724</v>
      </c>
      <c r="D225" s="183"/>
      <c r="E225" s="183" t="s">
        <v>725</v>
      </c>
      <c r="F225" s="184" t="s">
        <v>47</v>
      </c>
      <c r="G225" s="173">
        <v>99.2</v>
      </c>
      <c r="H225" s="173">
        <v>286.450164</v>
      </c>
      <c r="I225" s="173">
        <v>15</v>
      </c>
      <c r="J225" s="79">
        <f>G225+H225+I225</f>
        <v>400.650164</v>
      </c>
      <c r="K225" s="79">
        <f t="shared" si="61"/>
        <v>40.0650164</v>
      </c>
      <c r="L225" s="101">
        <f>ROUND((J225+K225),0)</f>
        <v>441</v>
      </c>
      <c r="M225" s="181"/>
      <c r="N225" s="186"/>
      <c r="O225" s="186"/>
      <c r="P225" s="186"/>
      <c r="Q225" s="186"/>
      <c r="R225" s="102"/>
      <c r="S225" s="59" t="s">
        <v>726</v>
      </c>
    </row>
    <row r="226" s="14" customFormat="1" ht="25.5" customHeight="1" spans="1:19">
      <c r="A226" s="80" t="s">
        <v>731</v>
      </c>
      <c r="B226" s="81"/>
      <c r="C226" s="82"/>
      <c r="D226" s="187"/>
      <c r="E226" s="187"/>
      <c r="F226" s="187"/>
      <c r="G226" s="188"/>
      <c r="H226" s="188"/>
      <c r="I226" s="188"/>
      <c r="J226" s="188"/>
      <c r="K226" s="79">
        <f t="shared" si="61"/>
        <v>0</v>
      </c>
      <c r="L226" s="188"/>
      <c r="M226" s="189"/>
      <c r="N226" s="190"/>
      <c r="O226" s="190"/>
      <c r="P226" s="190"/>
      <c r="Q226" s="190"/>
      <c r="R226" s="135"/>
      <c r="S226" s="86"/>
    </row>
    <row r="227" ht="43.5" customHeight="1" spans="1:19">
      <c r="A227" s="87" t="s">
        <v>732</v>
      </c>
      <c r="B227" s="63" t="s">
        <v>733</v>
      </c>
      <c r="C227" s="63"/>
      <c r="D227" s="63"/>
      <c r="E227" s="69" t="s">
        <v>734</v>
      </c>
      <c r="F227" s="55" t="s">
        <v>735</v>
      </c>
      <c r="G227" s="173"/>
      <c r="H227" s="173">
        <f>20/1.2</f>
        <v>16.6666666666667</v>
      </c>
      <c r="I227" s="173"/>
      <c r="J227" s="79">
        <f>G227+H227+I227</f>
        <v>16.6666666666667</v>
      </c>
      <c r="K227" s="79">
        <f t="shared" si="61"/>
        <v>1.66666666666667</v>
      </c>
      <c r="L227" s="101">
        <f>ROUND((J227+K227),0)</f>
        <v>18</v>
      </c>
      <c r="M227" s="181"/>
      <c r="N227" s="57"/>
      <c r="O227" s="57"/>
      <c r="P227" s="57"/>
      <c r="Q227" s="57"/>
      <c r="R227" s="58">
        <v>18</v>
      </c>
      <c r="S227" s="59"/>
    </row>
    <row r="228" ht="43.5" customHeight="1" spans="1:19">
      <c r="A228" s="87" t="s">
        <v>736</v>
      </c>
      <c r="B228" s="63" t="s">
        <v>737</v>
      </c>
      <c r="C228" s="63"/>
      <c r="D228" s="63"/>
      <c r="E228" s="69"/>
      <c r="F228" s="55" t="s">
        <v>24</v>
      </c>
      <c r="G228" s="173"/>
      <c r="H228" s="173">
        <f>11/1.2</f>
        <v>9.16666666666667</v>
      </c>
      <c r="I228" s="173"/>
      <c r="J228" s="79">
        <f>G228+H228+I228</f>
        <v>9.16666666666667</v>
      </c>
      <c r="K228" s="79">
        <f t="shared" si="61"/>
        <v>0.916666666666667</v>
      </c>
      <c r="L228" s="101">
        <f>ROUND((J228+K228),0)</f>
        <v>10</v>
      </c>
      <c r="M228" s="181"/>
      <c r="N228" s="57"/>
      <c r="O228" s="57"/>
      <c r="P228" s="57"/>
      <c r="Q228" s="57"/>
      <c r="R228" s="58">
        <v>10</v>
      </c>
      <c r="S228" s="59"/>
    </row>
    <row r="229" ht="115.5" customHeight="1" spans="1:19">
      <c r="A229" s="87" t="s">
        <v>738</v>
      </c>
      <c r="B229" s="70" t="s">
        <v>739</v>
      </c>
      <c r="C229" s="63"/>
      <c r="D229" s="63"/>
      <c r="E229" s="69"/>
      <c r="F229" s="55" t="s">
        <v>24</v>
      </c>
      <c r="G229" s="173"/>
      <c r="H229" s="173"/>
      <c r="I229" s="173"/>
      <c r="J229" s="173"/>
      <c r="K229" s="79">
        <f t="shared" si="61"/>
        <v>0</v>
      </c>
      <c r="L229" s="191" t="s">
        <v>740</v>
      </c>
      <c r="M229" s="181"/>
      <c r="N229" s="186"/>
      <c r="O229" s="186"/>
      <c r="P229" s="186"/>
      <c r="Q229" s="186"/>
      <c r="R229" s="192" t="s">
        <v>741</v>
      </c>
      <c r="S229" s="59"/>
    </row>
    <row r="230" s="15" customFormat="1" ht="43.5" customHeight="1" spans="1:19">
      <c r="A230" s="90" t="s">
        <v>742</v>
      </c>
      <c r="B230" s="91" t="s">
        <v>739</v>
      </c>
      <c r="C230" s="115" t="s">
        <v>743</v>
      </c>
      <c r="D230" s="115"/>
      <c r="E230" s="69"/>
      <c r="F230" s="95" t="s">
        <v>24</v>
      </c>
      <c r="G230" s="193"/>
      <c r="H230" s="193">
        <f>25/1.2</f>
        <v>20.8333333333333</v>
      </c>
      <c r="I230" s="193"/>
      <c r="J230" s="117">
        <f>G230+H230+I230</f>
        <v>20.8333333333333</v>
      </c>
      <c r="K230" s="79">
        <f t="shared" si="61"/>
        <v>2.08333333333333</v>
      </c>
      <c r="L230" s="118">
        <f>ROUND((J230+K230),0)</f>
        <v>23</v>
      </c>
      <c r="M230" s="194"/>
      <c r="N230" s="57"/>
      <c r="O230" s="57"/>
      <c r="P230" s="57"/>
      <c r="Q230" s="57"/>
      <c r="R230" s="58">
        <v>18</v>
      </c>
      <c r="S230" s="98"/>
    </row>
    <row r="231" s="15" customFormat="1" ht="43.5" customHeight="1" spans="1:19">
      <c r="A231" s="90" t="s">
        <v>744</v>
      </c>
      <c r="B231" s="91" t="s">
        <v>739</v>
      </c>
      <c r="C231" s="115" t="s">
        <v>745</v>
      </c>
      <c r="D231" s="115"/>
      <c r="E231" s="69"/>
      <c r="F231" s="95" t="s">
        <v>24</v>
      </c>
      <c r="G231" s="193"/>
      <c r="H231" s="193">
        <f>20/1.2</f>
        <v>16.6666666666667</v>
      </c>
      <c r="I231" s="193"/>
      <c r="J231" s="117">
        <f>G231+H231+I231</f>
        <v>16.6666666666667</v>
      </c>
      <c r="K231" s="79">
        <f t="shared" si="61"/>
        <v>1.66666666666667</v>
      </c>
      <c r="L231" s="118">
        <f>ROUND((J231+K231),0)</f>
        <v>18</v>
      </c>
      <c r="M231" s="194"/>
      <c r="N231" s="57"/>
      <c r="O231" s="57"/>
      <c r="P231" s="57"/>
      <c r="Q231" s="57"/>
      <c r="R231" s="58">
        <v>14</v>
      </c>
      <c r="S231" s="98"/>
    </row>
    <row r="232" ht="52" spans="1:19">
      <c r="A232" s="87" t="s">
        <v>746</v>
      </c>
      <c r="B232" s="70" t="s">
        <v>747</v>
      </c>
      <c r="C232" s="63"/>
      <c r="D232" s="63"/>
      <c r="E232" s="63" t="s">
        <v>748</v>
      </c>
      <c r="F232" s="55" t="s">
        <v>24</v>
      </c>
      <c r="G232" s="173"/>
      <c r="H232" s="173">
        <f>7/1.2</f>
        <v>5.83333333333333</v>
      </c>
      <c r="I232" s="173"/>
      <c r="J232" s="79">
        <f>G232+H232+I232</f>
        <v>5.83333333333333</v>
      </c>
      <c r="K232" s="79">
        <f t="shared" si="61"/>
        <v>0.583333333333333</v>
      </c>
      <c r="L232" s="101">
        <f>ROUND((J232+K232),0)</f>
        <v>6</v>
      </c>
      <c r="M232" s="195" t="s">
        <v>749</v>
      </c>
      <c r="N232" s="57"/>
      <c r="O232" s="57"/>
      <c r="P232" s="57"/>
      <c r="Q232" s="57"/>
      <c r="R232" s="58">
        <v>4</v>
      </c>
      <c r="S232" s="59"/>
    </row>
    <row r="233" s="14" customFormat="1" ht="22.5" customHeight="1" spans="1:19">
      <c r="A233" s="196" t="s">
        <v>750</v>
      </c>
      <c r="B233" s="197"/>
      <c r="C233" s="198"/>
      <c r="D233" s="199"/>
      <c r="E233" s="199"/>
      <c r="F233" s="199"/>
      <c r="G233" s="199"/>
      <c r="H233" s="199"/>
      <c r="I233" s="199"/>
      <c r="J233" s="199"/>
      <c r="K233" s="199"/>
      <c r="L233" s="199"/>
      <c r="M233" s="200"/>
      <c r="N233" s="201"/>
      <c r="O233" s="201"/>
      <c r="P233" s="201"/>
      <c r="Q233" s="201"/>
      <c r="R233" s="202"/>
      <c r="S233" s="86"/>
    </row>
    <row r="234" ht="14.5" spans="1:19">
      <c r="A234" s="87"/>
      <c r="B234" s="203" t="s">
        <v>751</v>
      </c>
      <c r="C234" s="63"/>
      <c r="D234" s="63"/>
      <c r="E234" s="63"/>
      <c r="F234" s="55"/>
      <c r="G234" s="173"/>
      <c r="H234" s="173"/>
      <c r="I234" s="173"/>
      <c r="J234" s="173"/>
      <c r="K234" s="173"/>
      <c r="L234" s="101"/>
      <c r="M234" s="195"/>
      <c r="N234" s="57"/>
      <c r="O234" s="57"/>
      <c r="P234" s="57"/>
      <c r="Q234" s="57"/>
      <c r="R234" s="58"/>
      <c r="S234" s="59"/>
    </row>
    <row r="235" ht="43.5" spans="1:19">
      <c r="A235" s="87" t="s">
        <v>752</v>
      </c>
      <c r="B235" s="70" t="s">
        <v>753</v>
      </c>
      <c r="C235" s="63"/>
      <c r="D235" s="63"/>
      <c r="E235" s="63" t="s">
        <v>754</v>
      </c>
      <c r="F235" s="55" t="s">
        <v>24</v>
      </c>
      <c r="G235" s="173">
        <v>19.77</v>
      </c>
      <c r="H235" s="173"/>
      <c r="I235" s="173"/>
      <c r="J235" s="79">
        <f>G235+H235+I235</f>
        <v>19.77</v>
      </c>
      <c r="K235" s="79">
        <f>J235*0.1</f>
        <v>1.977</v>
      </c>
      <c r="L235" s="101">
        <f>ROUND((J235+K235),0)</f>
        <v>22</v>
      </c>
      <c r="M235" s="195"/>
      <c r="N235" s="57"/>
      <c r="O235" s="57"/>
      <c r="P235" s="57"/>
      <c r="Q235" s="57"/>
      <c r="R235" s="58"/>
      <c r="S235" s="59"/>
    </row>
    <row r="236" ht="29" spans="1:19">
      <c r="A236" s="87" t="s">
        <v>755</v>
      </c>
      <c r="B236" s="70" t="s">
        <v>756</v>
      </c>
      <c r="C236" s="63"/>
      <c r="D236" s="63"/>
      <c r="E236" s="63" t="s">
        <v>757</v>
      </c>
      <c r="F236" s="55" t="s">
        <v>24</v>
      </c>
      <c r="G236" s="173">
        <v>9.25</v>
      </c>
      <c r="H236" s="173"/>
      <c r="I236" s="173"/>
      <c r="J236" s="79">
        <f>G236+H236+I236</f>
        <v>9.25</v>
      </c>
      <c r="K236" s="79">
        <f t="shared" ref="K236:K258" si="62">J236*0.1</f>
        <v>0.925</v>
      </c>
      <c r="L236" s="101">
        <f>ROUND((J236+K236),0)</f>
        <v>10</v>
      </c>
      <c r="M236" s="195"/>
      <c r="N236" s="57"/>
      <c r="O236" s="57"/>
      <c r="P236" s="57"/>
      <c r="Q236" s="57"/>
      <c r="R236" s="58"/>
      <c r="S236" s="59"/>
    </row>
    <row r="237" ht="14.5" spans="1:19">
      <c r="A237" s="87" t="s">
        <v>758</v>
      </c>
      <c r="B237" s="70" t="s">
        <v>759</v>
      </c>
      <c r="C237" s="63"/>
      <c r="D237" s="63"/>
      <c r="E237" s="63" t="s">
        <v>760</v>
      </c>
      <c r="F237" s="55" t="s">
        <v>24</v>
      </c>
      <c r="G237" s="173">
        <v>6.19</v>
      </c>
      <c r="H237" s="173"/>
      <c r="I237" s="173"/>
      <c r="J237" s="79">
        <f>G237+H237+I237</f>
        <v>6.19</v>
      </c>
      <c r="K237" s="79">
        <f t="shared" si="62"/>
        <v>0.619</v>
      </c>
      <c r="L237" s="101">
        <f>ROUND((J237+K237),0)</f>
        <v>7</v>
      </c>
      <c r="M237" s="195"/>
      <c r="N237" s="57"/>
      <c r="O237" s="57"/>
      <c r="P237" s="57"/>
      <c r="Q237" s="57"/>
      <c r="R237" s="58"/>
      <c r="S237" s="59"/>
    </row>
    <row r="238" ht="14.5" spans="1:19">
      <c r="A238" s="87" t="s">
        <v>761</v>
      </c>
      <c r="B238" s="70" t="s">
        <v>762</v>
      </c>
      <c r="C238" s="63"/>
      <c r="D238" s="63"/>
      <c r="E238" s="63" t="s">
        <v>763</v>
      </c>
      <c r="F238" s="55" t="s">
        <v>47</v>
      </c>
      <c r="G238" s="173">
        <v>1.01</v>
      </c>
      <c r="H238" s="173"/>
      <c r="I238" s="173"/>
      <c r="J238" s="79">
        <f>G238+H238+I238</f>
        <v>1.01</v>
      </c>
      <c r="K238" s="79">
        <f t="shared" si="62"/>
        <v>0.101</v>
      </c>
      <c r="L238" s="101">
        <f>ROUND((J238+K238),0)</f>
        <v>1</v>
      </c>
      <c r="M238" s="195"/>
      <c r="N238" s="57"/>
      <c r="O238" s="57"/>
      <c r="P238" s="57"/>
      <c r="Q238" s="57"/>
      <c r="R238" s="58"/>
      <c r="S238" s="59"/>
    </row>
    <row r="239" ht="14.5" spans="1:19">
      <c r="A239" s="87"/>
      <c r="B239" s="203" t="s">
        <v>764</v>
      </c>
      <c r="C239" s="63"/>
      <c r="D239" s="63"/>
      <c r="E239" s="63"/>
      <c r="F239" s="55"/>
      <c r="G239" s="173"/>
      <c r="H239" s="173"/>
      <c r="I239" s="173"/>
      <c r="J239" s="173"/>
      <c r="K239" s="79">
        <f t="shared" si="62"/>
        <v>0</v>
      </c>
      <c r="L239" s="101"/>
      <c r="M239" s="195"/>
      <c r="N239" s="57"/>
      <c r="O239" s="57"/>
      <c r="P239" s="57"/>
      <c r="Q239" s="57"/>
      <c r="R239" s="58"/>
      <c r="S239" s="59"/>
    </row>
    <row r="240" ht="29" spans="1:19">
      <c r="A240" s="87" t="s">
        <v>765</v>
      </c>
      <c r="B240" s="70" t="s">
        <v>766</v>
      </c>
      <c r="C240" s="63"/>
      <c r="D240" s="63"/>
      <c r="E240" s="63" t="s">
        <v>767</v>
      </c>
      <c r="F240" s="55" t="s">
        <v>24</v>
      </c>
      <c r="G240" s="173">
        <v>5.92</v>
      </c>
      <c r="H240" s="173"/>
      <c r="I240" s="173"/>
      <c r="J240" s="79">
        <f>G240+H240+I240</f>
        <v>5.92</v>
      </c>
      <c r="K240" s="79">
        <f t="shared" si="62"/>
        <v>0.592</v>
      </c>
      <c r="L240" s="101">
        <f>ROUND((J240+K240),0)</f>
        <v>7</v>
      </c>
      <c r="M240" s="195"/>
      <c r="N240" s="57"/>
      <c r="O240" s="57"/>
      <c r="P240" s="57"/>
      <c r="Q240" s="57"/>
      <c r="R240" s="58"/>
      <c r="S240" s="59"/>
    </row>
    <row r="241" ht="14.5" spans="1:19">
      <c r="A241" s="87" t="s">
        <v>768</v>
      </c>
      <c r="B241" s="70" t="s">
        <v>769</v>
      </c>
      <c r="C241" s="63"/>
      <c r="D241" s="63"/>
      <c r="E241" s="63" t="s">
        <v>770</v>
      </c>
      <c r="F241" s="55" t="s">
        <v>24</v>
      </c>
      <c r="G241" s="173">
        <v>4.72</v>
      </c>
      <c r="H241" s="173"/>
      <c r="I241" s="173"/>
      <c r="J241" s="79">
        <f>G241+H241+I241</f>
        <v>4.72</v>
      </c>
      <c r="K241" s="79">
        <f t="shared" si="62"/>
        <v>0.472</v>
      </c>
      <c r="L241" s="101">
        <f>ROUND((J241+K241),0)</f>
        <v>5</v>
      </c>
      <c r="M241" s="195"/>
      <c r="N241" s="57"/>
      <c r="O241" s="57"/>
      <c r="P241" s="57"/>
      <c r="Q241" s="57"/>
      <c r="R241" s="58"/>
      <c r="S241" s="59"/>
    </row>
    <row r="242" ht="29" spans="1:19">
      <c r="A242" s="87" t="s">
        <v>771</v>
      </c>
      <c r="B242" s="70" t="s">
        <v>772</v>
      </c>
      <c r="C242" s="63"/>
      <c r="D242" s="63"/>
      <c r="E242" s="63" t="s">
        <v>773</v>
      </c>
      <c r="F242" s="55" t="s">
        <v>24</v>
      </c>
      <c r="G242" s="173">
        <v>14.55</v>
      </c>
      <c r="H242" s="173"/>
      <c r="I242" s="173"/>
      <c r="J242" s="79">
        <f>G242+H242+I242</f>
        <v>14.55</v>
      </c>
      <c r="K242" s="79">
        <f t="shared" si="62"/>
        <v>1.455</v>
      </c>
      <c r="L242" s="101">
        <f>ROUND((J242+K242),0)</f>
        <v>16</v>
      </c>
      <c r="M242" s="195"/>
      <c r="N242" s="57"/>
      <c r="O242" s="57"/>
      <c r="P242" s="57"/>
      <c r="Q242" s="57"/>
      <c r="R242" s="58"/>
      <c r="S242" s="59"/>
    </row>
    <row r="243" ht="29" spans="1:19">
      <c r="A243" s="87" t="s">
        <v>774</v>
      </c>
      <c r="B243" s="70" t="s">
        <v>775</v>
      </c>
      <c r="C243" s="63"/>
      <c r="D243" s="63"/>
      <c r="E243" s="63" t="s">
        <v>773</v>
      </c>
      <c r="F243" s="55" t="s">
        <v>24</v>
      </c>
      <c r="G243" s="173">
        <v>16.73</v>
      </c>
      <c r="H243" s="173"/>
      <c r="I243" s="173"/>
      <c r="J243" s="79">
        <f>G243+H243+I243</f>
        <v>16.73</v>
      </c>
      <c r="K243" s="79">
        <f t="shared" si="62"/>
        <v>1.673</v>
      </c>
      <c r="L243" s="101">
        <f>ROUND((J243+K243),0)</f>
        <v>18</v>
      </c>
      <c r="M243" s="195"/>
      <c r="N243" s="57"/>
      <c r="O243" s="57"/>
      <c r="P243" s="57"/>
      <c r="Q243" s="57"/>
      <c r="R243" s="58"/>
      <c r="S243" s="59"/>
    </row>
    <row r="244" ht="43.5" spans="1:19">
      <c r="A244" s="87" t="s">
        <v>776</v>
      </c>
      <c r="B244" s="70" t="s">
        <v>777</v>
      </c>
      <c r="C244" s="63"/>
      <c r="D244" s="63"/>
      <c r="E244" s="63" t="s">
        <v>778</v>
      </c>
      <c r="F244" s="55" t="s">
        <v>24</v>
      </c>
      <c r="G244" s="173">
        <v>20.11</v>
      </c>
      <c r="H244" s="173"/>
      <c r="I244" s="173"/>
      <c r="J244" s="79">
        <f>G244+H244+I244</f>
        <v>20.11</v>
      </c>
      <c r="K244" s="79">
        <f t="shared" si="62"/>
        <v>2.011</v>
      </c>
      <c r="L244" s="101">
        <f>ROUND((J244+K244),0)</f>
        <v>22</v>
      </c>
      <c r="M244" s="195"/>
      <c r="N244" s="57"/>
      <c r="O244" s="57"/>
      <c r="P244" s="57"/>
      <c r="Q244" s="57"/>
      <c r="R244" s="58"/>
      <c r="S244" s="59"/>
    </row>
    <row r="245" ht="14.5" spans="1:19">
      <c r="A245" s="87"/>
      <c r="B245" s="203" t="s">
        <v>779</v>
      </c>
      <c r="C245" s="63"/>
      <c r="D245" s="63"/>
      <c r="E245" s="63"/>
      <c r="F245" s="55"/>
      <c r="G245" s="173"/>
      <c r="H245" s="173"/>
      <c r="I245" s="173"/>
      <c r="J245" s="173"/>
      <c r="K245" s="79">
        <f t="shared" si="62"/>
        <v>0</v>
      </c>
      <c r="L245" s="101"/>
      <c r="M245" s="195"/>
      <c r="N245" s="57"/>
      <c r="O245" s="57"/>
      <c r="P245" s="57"/>
      <c r="Q245" s="57"/>
      <c r="R245" s="58"/>
      <c r="S245" s="59"/>
    </row>
    <row r="246" ht="29" spans="1:19">
      <c r="A246" s="87" t="s">
        <v>780</v>
      </c>
      <c r="B246" s="70" t="s">
        <v>781</v>
      </c>
      <c r="C246" s="63"/>
      <c r="D246" s="63"/>
      <c r="E246" s="63" t="s">
        <v>782</v>
      </c>
      <c r="F246" s="55" t="s">
        <v>47</v>
      </c>
      <c r="G246" s="173">
        <v>0.5</v>
      </c>
      <c r="H246" s="173"/>
      <c r="I246" s="173"/>
      <c r="J246" s="79">
        <f t="shared" ref="J246:J251" si="63">G246+H246+I246</f>
        <v>0.5</v>
      </c>
      <c r="K246" s="79">
        <f t="shared" si="62"/>
        <v>0.05</v>
      </c>
      <c r="L246" s="101">
        <f t="shared" ref="L246:L251" si="64">ROUND((J246+K246),0)</f>
        <v>1</v>
      </c>
      <c r="M246" s="195"/>
      <c r="N246" s="57"/>
      <c r="O246" s="57"/>
      <c r="P246" s="57"/>
      <c r="Q246" s="57"/>
      <c r="R246" s="58"/>
      <c r="S246" s="59"/>
    </row>
    <row r="247" ht="29" spans="1:19">
      <c r="A247" s="87" t="s">
        <v>783</v>
      </c>
      <c r="B247" s="70" t="s">
        <v>784</v>
      </c>
      <c r="C247" s="63"/>
      <c r="D247" s="63"/>
      <c r="E247" s="63" t="s">
        <v>763</v>
      </c>
      <c r="F247" s="55" t="s">
        <v>47</v>
      </c>
      <c r="G247" s="173">
        <v>5.87</v>
      </c>
      <c r="H247" s="173"/>
      <c r="I247" s="173"/>
      <c r="J247" s="79">
        <f t="shared" si="63"/>
        <v>5.87</v>
      </c>
      <c r="K247" s="79">
        <f t="shared" si="62"/>
        <v>0.587</v>
      </c>
      <c r="L247" s="101">
        <f t="shared" si="64"/>
        <v>6</v>
      </c>
      <c r="M247" s="195"/>
      <c r="N247" s="57"/>
      <c r="O247" s="57"/>
      <c r="P247" s="57"/>
      <c r="Q247" s="57"/>
      <c r="R247" s="58"/>
      <c r="S247" s="59"/>
    </row>
    <row r="248" ht="72.5" spans="1:19">
      <c r="A248" s="87" t="s">
        <v>785</v>
      </c>
      <c r="B248" s="70" t="s">
        <v>786</v>
      </c>
      <c r="C248" s="63"/>
      <c r="D248" s="63"/>
      <c r="E248" s="63" t="s">
        <v>787</v>
      </c>
      <c r="F248" s="55" t="s">
        <v>24</v>
      </c>
      <c r="G248" s="173">
        <v>9.49</v>
      </c>
      <c r="H248" s="173"/>
      <c r="I248" s="173"/>
      <c r="J248" s="79">
        <f t="shared" si="63"/>
        <v>9.49</v>
      </c>
      <c r="K248" s="79">
        <f t="shared" si="62"/>
        <v>0.949</v>
      </c>
      <c r="L248" s="101">
        <f t="shared" si="64"/>
        <v>10</v>
      </c>
      <c r="M248" s="195"/>
      <c r="N248" s="57"/>
      <c r="O248" s="57"/>
      <c r="P248" s="57"/>
      <c r="Q248" s="57"/>
      <c r="R248" s="58"/>
      <c r="S248" s="59"/>
    </row>
    <row r="249" ht="58" spans="1:19">
      <c r="A249" s="87" t="s">
        <v>788</v>
      </c>
      <c r="B249" s="70" t="s">
        <v>789</v>
      </c>
      <c r="C249" s="63"/>
      <c r="D249" s="63"/>
      <c r="E249" s="63" t="s">
        <v>790</v>
      </c>
      <c r="F249" s="55" t="s">
        <v>24</v>
      </c>
      <c r="G249" s="173">
        <v>17.11</v>
      </c>
      <c r="H249" s="173">
        <v>20.8</v>
      </c>
      <c r="I249" s="173">
        <v>0.94</v>
      </c>
      <c r="J249" s="79">
        <f t="shared" si="63"/>
        <v>38.85</v>
      </c>
      <c r="K249" s="79">
        <f t="shared" si="62"/>
        <v>3.885</v>
      </c>
      <c r="L249" s="101">
        <f t="shared" si="64"/>
        <v>43</v>
      </c>
      <c r="M249" s="195"/>
      <c r="N249" s="57"/>
      <c r="O249" s="57"/>
      <c r="P249" s="57"/>
      <c r="Q249" s="57"/>
      <c r="R249" s="58"/>
      <c r="S249" s="59"/>
    </row>
    <row r="250" ht="43.5" spans="1:19">
      <c r="A250" s="87" t="s">
        <v>791</v>
      </c>
      <c r="B250" s="70" t="s">
        <v>792</v>
      </c>
      <c r="C250" s="63"/>
      <c r="D250" s="63"/>
      <c r="E250" s="63" t="s">
        <v>793</v>
      </c>
      <c r="F250" s="55" t="s">
        <v>24</v>
      </c>
      <c r="G250" s="173">
        <v>50.34</v>
      </c>
      <c r="H250" s="173">
        <v>0</v>
      </c>
      <c r="I250" s="173">
        <v>0.5</v>
      </c>
      <c r="J250" s="79">
        <f t="shared" si="63"/>
        <v>50.84</v>
      </c>
      <c r="K250" s="79">
        <f t="shared" si="62"/>
        <v>5.084</v>
      </c>
      <c r="L250" s="101">
        <f t="shared" si="64"/>
        <v>56</v>
      </c>
      <c r="M250" s="195"/>
      <c r="N250" s="57"/>
      <c r="O250" s="57"/>
      <c r="P250" s="57"/>
      <c r="Q250" s="57"/>
      <c r="R250" s="58"/>
      <c r="S250" s="59"/>
    </row>
    <row r="251" ht="29" spans="1:19">
      <c r="A251" s="87" t="s">
        <v>794</v>
      </c>
      <c r="B251" s="70" t="s">
        <v>795</v>
      </c>
      <c r="C251" s="63"/>
      <c r="D251" s="63"/>
      <c r="E251" s="63" t="s">
        <v>796</v>
      </c>
      <c r="F251" s="55" t="s">
        <v>150</v>
      </c>
      <c r="G251" s="173">
        <v>3.4</v>
      </c>
      <c r="H251" s="173">
        <v>0</v>
      </c>
      <c r="I251" s="173">
        <v>0</v>
      </c>
      <c r="J251" s="79">
        <f t="shared" si="63"/>
        <v>3.4</v>
      </c>
      <c r="K251" s="79">
        <f t="shared" si="62"/>
        <v>0.34</v>
      </c>
      <c r="L251" s="101">
        <f t="shared" si="64"/>
        <v>4</v>
      </c>
      <c r="M251" s="195"/>
      <c r="N251" s="57"/>
      <c r="O251" s="57"/>
      <c r="P251" s="57"/>
      <c r="Q251" s="57"/>
      <c r="R251" s="58"/>
      <c r="S251" s="59"/>
    </row>
    <row r="252" ht="14.5" spans="1:19">
      <c r="A252" s="87"/>
      <c r="B252" s="203" t="s">
        <v>797</v>
      </c>
      <c r="C252" s="63"/>
      <c r="D252" s="63"/>
      <c r="E252" s="63"/>
      <c r="F252" s="55"/>
      <c r="G252" s="173"/>
      <c r="H252" s="173"/>
      <c r="I252" s="173"/>
      <c r="J252" s="173"/>
      <c r="K252" s="79">
        <f t="shared" si="62"/>
        <v>0</v>
      </c>
      <c r="L252" s="101"/>
      <c r="M252" s="195"/>
      <c r="N252" s="57"/>
      <c r="O252" s="57"/>
      <c r="P252" s="57"/>
      <c r="Q252" s="57"/>
      <c r="R252" s="58"/>
      <c r="S252" s="59"/>
    </row>
    <row r="253" ht="29" spans="1:19">
      <c r="A253" s="87" t="s">
        <v>798</v>
      </c>
      <c r="B253" s="70" t="s">
        <v>799</v>
      </c>
      <c r="C253" s="63"/>
      <c r="D253" s="63"/>
      <c r="E253" s="63" t="s">
        <v>800</v>
      </c>
      <c r="F253" s="55" t="s">
        <v>531</v>
      </c>
      <c r="G253" s="173">
        <f>33/1.2</f>
        <v>27.5</v>
      </c>
      <c r="H253" s="173"/>
      <c r="I253" s="173"/>
      <c r="J253" s="79">
        <f t="shared" ref="J253:J258" si="65">G253+H253+I253</f>
        <v>27.5</v>
      </c>
      <c r="K253" s="79">
        <f t="shared" si="62"/>
        <v>2.75</v>
      </c>
      <c r="L253" s="101">
        <f t="shared" ref="L253:L258" si="66">ROUND((J253+K253),0)</f>
        <v>30</v>
      </c>
      <c r="M253" s="195"/>
      <c r="N253" s="57"/>
      <c r="O253" s="57"/>
      <c r="P253" s="57"/>
      <c r="Q253" s="57"/>
      <c r="R253" s="58"/>
      <c r="S253" s="59"/>
    </row>
    <row r="254" ht="29" spans="1:19">
      <c r="A254" s="87" t="s">
        <v>801</v>
      </c>
      <c r="B254" s="70" t="s">
        <v>802</v>
      </c>
      <c r="C254" s="63"/>
      <c r="D254" s="63"/>
      <c r="E254" s="63" t="s">
        <v>803</v>
      </c>
      <c r="F254" s="55" t="s">
        <v>531</v>
      </c>
      <c r="G254" s="173">
        <f>29/1.2</f>
        <v>24.1666666666667</v>
      </c>
      <c r="H254" s="173"/>
      <c r="I254" s="173"/>
      <c r="J254" s="79">
        <f t="shared" si="65"/>
        <v>24.1666666666667</v>
      </c>
      <c r="K254" s="79">
        <f t="shared" si="62"/>
        <v>2.41666666666667</v>
      </c>
      <c r="L254" s="101">
        <f t="shared" si="66"/>
        <v>27</v>
      </c>
      <c r="M254" s="195"/>
      <c r="N254" s="57"/>
      <c r="O254" s="57"/>
      <c r="P254" s="57"/>
      <c r="Q254" s="57"/>
      <c r="R254" s="58"/>
      <c r="S254" s="59"/>
    </row>
    <row r="255" ht="29" spans="1:19">
      <c r="A255" s="87" t="s">
        <v>804</v>
      </c>
      <c r="B255" s="70" t="s">
        <v>805</v>
      </c>
      <c r="C255" s="63"/>
      <c r="D255" s="63"/>
      <c r="E255" s="63" t="s">
        <v>806</v>
      </c>
      <c r="F255" s="55" t="s">
        <v>531</v>
      </c>
      <c r="G255" s="173">
        <f>52/1.2</f>
        <v>43.3333333333333</v>
      </c>
      <c r="H255" s="173"/>
      <c r="I255" s="173"/>
      <c r="J255" s="79">
        <f t="shared" si="65"/>
        <v>43.3333333333333</v>
      </c>
      <c r="K255" s="79">
        <f t="shared" si="62"/>
        <v>4.33333333333333</v>
      </c>
      <c r="L255" s="101">
        <f t="shared" si="66"/>
        <v>48</v>
      </c>
      <c r="M255" s="195"/>
      <c r="N255" s="57"/>
      <c r="O255" s="57"/>
      <c r="P255" s="57"/>
      <c r="Q255" s="57"/>
      <c r="R255" s="58"/>
      <c r="S255" s="59"/>
    </row>
    <row r="256" ht="29" spans="1:19">
      <c r="A256" s="87" t="s">
        <v>807</v>
      </c>
      <c r="B256" s="70" t="s">
        <v>808</v>
      </c>
      <c r="C256" s="63"/>
      <c r="D256" s="63"/>
      <c r="E256" s="63" t="s">
        <v>809</v>
      </c>
      <c r="F256" s="55" t="s">
        <v>531</v>
      </c>
      <c r="G256" s="173">
        <f>12/1.2</f>
        <v>10</v>
      </c>
      <c r="H256" s="173"/>
      <c r="I256" s="173"/>
      <c r="J256" s="79">
        <f t="shared" si="65"/>
        <v>10</v>
      </c>
      <c r="K256" s="79">
        <f t="shared" si="62"/>
        <v>1</v>
      </c>
      <c r="L256" s="101">
        <f t="shared" si="66"/>
        <v>11</v>
      </c>
      <c r="M256" s="195"/>
      <c r="N256" s="57"/>
      <c r="O256" s="57"/>
      <c r="P256" s="57"/>
      <c r="Q256" s="57"/>
      <c r="R256" s="58"/>
      <c r="S256" s="59"/>
    </row>
    <row r="257" ht="29" spans="1:19">
      <c r="A257" s="87" t="s">
        <v>810</v>
      </c>
      <c r="B257" s="70" t="s">
        <v>811</v>
      </c>
      <c r="C257" s="63"/>
      <c r="D257" s="63"/>
      <c r="E257" s="63" t="s">
        <v>812</v>
      </c>
      <c r="F257" s="55" t="s">
        <v>531</v>
      </c>
      <c r="G257" s="173">
        <f>1.4/1.2</f>
        <v>1.16666666666667</v>
      </c>
      <c r="H257" s="173"/>
      <c r="I257" s="173"/>
      <c r="J257" s="79">
        <f t="shared" si="65"/>
        <v>1.16666666666667</v>
      </c>
      <c r="K257" s="79">
        <f t="shared" si="62"/>
        <v>0.116666666666667</v>
      </c>
      <c r="L257" s="101">
        <f t="shared" si="66"/>
        <v>1</v>
      </c>
      <c r="M257" s="195"/>
      <c r="N257" s="57"/>
      <c r="O257" s="57"/>
      <c r="P257" s="57"/>
      <c r="Q257" s="57"/>
      <c r="R257" s="58"/>
      <c r="S257" s="59"/>
    </row>
    <row r="258" ht="29" spans="1:19">
      <c r="A258" s="87" t="s">
        <v>813</v>
      </c>
      <c r="B258" s="70" t="s">
        <v>814</v>
      </c>
      <c r="C258" s="63"/>
      <c r="D258" s="63"/>
      <c r="E258" s="63" t="s">
        <v>815</v>
      </c>
      <c r="F258" s="55" t="s">
        <v>531</v>
      </c>
      <c r="G258" s="173">
        <f>3/1.2</f>
        <v>2.5</v>
      </c>
      <c r="H258" s="173"/>
      <c r="I258" s="173"/>
      <c r="J258" s="79">
        <f t="shared" si="65"/>
        <v>2.5</v>
      </c>
      <c r="K258" s="79">
        <f t="shared" si="62"/>
        <v>0.25</v>
      </c>
      <c r="L258" s="101">
        <f t="shared" si="66"/>
        <v>3</v>
      </c>
      <c r="M258" s="195"/>
      <c r="N258" s="57"/>
      <c r="O258" s="57"/>
      <c r="P258" s="57"/>
      <c r="Q258" s="57"/>
      <c r="R258" s="58"/>
      <c r="S258" s="59"/>
    </row>
    <row r="259" s="14" customFormat="1" ht="22.5" customHeight="1" spans="1:19">
      <c r="A259" s="196" t="s">
        <v>816</v>
      </c>
      <c r="B259" s="197"/>
      <c r="C259" s="198"/>
      <c r="D259" s="199"/>
      <c r="E259" s="199"/>
      <c r="F259" s="199"/>
      <c r="G259" s="199"/>
      <c r="H259" s="199"/>
      <c r="I259" s="199"/>
      <c r="J259" s="199"/>
      <c r="K259" s="199"/>
      <c r="L259" s="199"/>
      <c r="M259" s="200"/>
      <c r="N259" s="201"/>
      <c r="O259" s="201"/>
      <c r="P259" s="201"/>
      <c r="Q259" s="201"/>
      <c r="R259" s="202"/>
      <c r="S259" s="86"/>
    </row>
    <row r="260" ht="14.5" spans="1:19">
      <c r="A260" s="204" t="s">
        <v>264</v>
      </c>
      <c r="B260" s="205" t="s">
        <v>817</v>
      </c>
      <c r="C260" s="179"/>
      <c r="D260" s="179"/>
      <c r="E260" s="179"/>
      <c r="F260" s="180"/>
      <c r="G260" s="173"/>
      <c r="H260" s="173"/>
      <c r="I260" s="173"/>
      <c r="J260" s="173"/>
      <c r="K260" s="173"/>
      <c r="L260" s="101"/>
      <c r="M260" s="181"/>
      <c r="N260" s="57"/>
      <c r="O260" s="57"/>
      <c r="P260" s="57"/>
      <c r="Q260" s="57"/>
      <c r="R260" s="58"/>
      <c r="S260" s="59"/>
    </row>
    <row r="261" ht="217.5" spans="1:19">
      <c r="A261" s="206" t="s">
        <v>818</v>
      </c>
      <c r="B261" s="207" t="s">
        <v>819</v>
      </c>
      <c r="C261" s="179"/>
      <c r="D261" s="183"/>
      <c r="E261" s="63" t="s">
        <v>820</v>
      </c>
      <c r="F261" s="180" t="s">
        <v>195</v>
      </c>
      <c r="G261" s="173"/>
      <c r="H261" s="173"/>
      <c r="I261" s="173"/>
      <c r="J261" s="173"/>
      <c r="K261" s="173"/>
      <c r="L261" s="36" t="s">
        <v>821</v>
      </c>
      <c r="M261" s="208" t="s">
        <v>822</v>
      </c>
      <c r="N261" s="57"/>
      <c r="O261" s="57"/>
      <c r="P261" s="57"/>
      <c r="Q261" s="57"/>
      <c r="R261" s="58"/>
      <c r="S261" s="59"/>
    </row>
    <row r="262" ht="101.5" spans="1:19">
      <c r="A262" s="206" t="s">
        <v>823</v>
      </c>
      <c r="B262" s="207" t="s">
        <v>824</v>
      </c>
      <c r="C262" s="179"/>
      <c r="D262" s="183"/>
      <c r="E262" s="63" t="s">
        <v>825</v>
      </c>
      <c r="F262" s="180" t="s">
        <v>195</v>
      </c>
      <c r="G262" s="173"/>
      <c r="H262" s="173"/>
      <c r="I262" s="173"/>
      <c r="J262" s="173"/>
      <c r="K262" s="173"/>
      <c r="L262" s="36" t="s">
        <v>826</v>
      </c>
      <c r="M262" s="208"/>
      <c r="N262" s="57"/>
      <c r="O262" s="57"/>
      <c r="P262" s="57"/>
      <c r="Q262" s="57"/>
      <c r="R262" s="58"/>
      <c r="S262" s="59"/>
    </row>
    <row r="263" ht="101.5" spans="1:19">
      <c r="A263" s="206" t="s">
        <v>827</v>
      </c>
      <c r="B263" s="207" t="s">
        <v>828</v>
      </c>
      <c r="C263" s="179"/>
      <c r="D263" s="183"/>
      <c r="E263" s="63" t="s">
        <v>829</v>
      </c>
      <c r="F263" s="180" t="s">
        <v>195</v>
      </c>
      <c r="G263" s="173"/>
      <c r="H263" s="173"/>
      <c r="I263" s="173"/>
      <c r="J263" s="173"/>
      <c r="K263" s="173"/>
      <c r="L263" s="36" t="s">
        <v>830</v>
      </c>
      <c r="M263" s="208" t="s">
        <v>831</v>
      </c>
      <c r="N263" s="57"/>
      <c r="O263" s="57"/>
      <c r="P263" s="57"/>
      <c r="Q263" s="57"/>
      <c r="R263" s="58"/>
      <c r="S263" s="59"/>
    </row>
    <row r="264" ht="43.5" spans="1:19">
      <c r="A264" s="206" t="s">
        <v>832</v>
      </c>
      <c r="B264" s="207" t="s">
        <v>833</v>
      </c>
      <c r="C264" s="179"/>
      <c r="D264" s="183"/>
      <c r="E264" s="63" t="s">
        <v>834</v>
      </c>
      <c r="F264" s="180" t="s">
        <v>24</v>
      </c>
      <c r="G264" s="173">
        <v>8</v>
      </c>
      <c r="H264" s="173"/>
      <c r="I264" s="173"/>
      <c r="J264" s="79">
        <f>G264+H264+I264</f>
        <v>8</v>
      </c>
      <c r="K264" s="79">
        <f>J264*0.1</f>
        <v>0.8</v>
      </c>
      <c r="L264" s="101">
        <f>ROUND((J264+K264),0)</f>
        <v>9</v>
      </c>
      <c r="M264" s="208" t="s">
        <v>835</v>
      </c>
      <c r="N264" s="57"/>
      <c r="O264" s="57"/>
      <c r="P264" s="57"/>
      <c r="Q264" s="57"/>
      <c r="R264" s="58"/>
      <c r="S264" s="59"/>
    </row>
    <row r="265" ht="43.5" spans="1:19">
      <c r="A265" s="206" t="s">
        <v>836</v>
      </c>
      <c r="B265" s="207"/>
      <c r="C265" s="179"/>
      <c r="D265" s="183"/>
      <c r="E265" s="63" t="s">
        <v>837</v>
      </c>
      <c r="F265" s="180" t="s">
        <v>24</v>
      </c>
      <c r="G265" s="173">
        <v>8.9</v>
      </c>
      <c r="H265" s="173"/>
      <c r="I265" s="173"/>
      <c r="J265" s="79">
        <f>G265+H265+I265</f>
        <v>8.9</v>
      </c>
      <c r="K265" s="79">
        <f>J265*0.1</f>
        <v>0.89</v>
      </c>
      <c r="L265" s="101">
        <f>ROUND((J265+K265),0)</f>
        <v>10</v>
      </c>
      <c r="M265" s="208"/>
      <c r="N265" s="57"/>
      <c r="O265" s="57"/>
      <c r="P265" s="57"/>
      <c r="Q265" s="57"/>
      <c r="R265" s="58"/>
      <c r="S265" s="59"/>
    </row>
    <row r="266" ht="29" spans="1:19">
      <c r="A266" s="206" t="s">
        <v>838</v>
      </c>
      <c r="B266" s="207"/>
      <c r="C266" s="179"/>
      <c r="D266" s="183"/>
      <c r="E266" s="63" t="s">
        <v>839</v>
      </c>
      <c r="F266" s="180" t="s">
        <v>24</v>
      </c>
      <c r="G266" s="173">
        <f>10</f>
        <v>10</v>
      </c>
      <c r="H266" s="173"/>
      <c r="I266" s="173"/>
      <c r="J266" s="79">
        <f>G266+H266+I266</f>
        <v>10</v>
      </c>
      <c r="K266" s="79">
        <f>J266*0.1</f>
        <v>1</v>
      </c>
      <c r="L266" s="101">
        <f>ROUND((J266+K266),0)</f>
        <v>11</v>
      </c>
      <c r="M266" s="208" t="s">
        <v>840</v>
      </c>
      <c r="N266" s="57"/>
      <c r="O266" s="57"/>
      <c r="P266" s="57"/>
      <c r="Q266" s="57"/>
      <c r="R266" s="58">
        <v>10</v>
      </c>
      <c r="S266" s="59"/>
    </row>
    <row r="267" customHeight="1" spans="1:19">
      <c r="A267" s="206" t="s">
        <v>841</v>
      </c>
      <c r="B267" s="207"/>
      <c r="C267" s="179"/>
      <c r="D267" s="183"/>
      <c r="E267" s="63" t="s">
        <v>842</v>
      </c>
      <c r="F267" s="180" t="s">
        <v>531</v>
      </c>
      <c r="G267" s="173">
        <v>850</v>
      </c>
      <c r="H267" s="173"/>
      <c r="I267" s="173"/>
      <c r="J267" s="79">
        <f>G267+H267+I267</f>
        <v>850</v>
      </c>
      <c r="K267" s="79">
        <f>J267*0.1</f>
        <v>85</v>
      </c>
      <c r="L267" s="101">
        <f>ROUND((J267+K267),0)</f>
        <v>935</v>
      </c>
      <c r="M267" s="208"/>
      <c r="N267" s="57"/>
      <c r="O267" s="57"/>
      <c r="P267" s="57"/>
      <c r="Q267" s="57"/>
      <c r="R267" s="58"/>
      <c r="S267" s="59"/>
    </row>
    <row r="268" ht="159.5" spans="1:19">
      <c r="A268" s="206" t="s">
        <v>843</v>
      </c>
      <c r="B268" s="207" t="s">
        <v>844</v>
      </c>
      <c r="C268" s="179"/>
      <c r="D268" s="183"/>
      <c r="E268" s="63" t="s">
        <v>845</v>
      </c>
      <c r="F268" s="180" t="s">
        <v>195</v>
      </c>
      <c r="G268" s="173"/>
      <c r="H268" s="173"/>
      <c r="I268" s="173"/>
      <c r="J268" s="173"/>
      <c r="K268" s="173"/>
      <c r="L268" s="36" t="s">
        <v>846</v>
      </c>
      <c r="M268" s="181"/>
      <c r="N268" s="57"/>
      <c r="O268" s="57"/>
      <c r="P268" s="57"/>
      <c r="Q268" s="57"/>
      <c r="R268" s="58"/>
      <c r="S268" s="59"/>
    </row>
    <row r="269" ht="188.5" spans="1:19">
      <c r="A269" s="206" t="s">
        <v>847</v>
      </c>
      <c r="B269" s="207" t="s">
        <v>848</v>
      </c>
      <c r="C269" s="179"/>
      <c r="D269" s="183"/>
      <c r="E269" s="63" t="s">
        <v>849</v>
      </c>
      <c r="F269" s="180" t="s">
        <v>195</v>
      </c>
      <c r="G269" s="173"/>
      <c r="H269" s="173"/>
      <c r="I269" s="173"/>
      <c r="J269" s="173"/>
      <c r="K269" s="173"/>
      <c r="L269" s="36" t="s">
        <v>850</v>
      </c>
      <c r="M269" s="181"/>
      <c r="N269" s="57"/>
      <c r="O269" s="57"/>
      <c r="P269" s="57"/>
      <c r="Q269" s="57"/>
      <c r="R269" s="58"/>
      <c r="S269" s="59"/>
    </row>
    <row r="270" ht="14.5" spans="1:19">
      <c r="A270" s="204" t="s">
        <v>398</v>
      </c>
      <c r="B270" s="209" t="s">
        <v>851</v>
      </c>
      <c r="C270" s="179"/>
      <c r="D270" s="183"/>
      <c r="E270" s="63"/>
      <c r="F270" s="180"/>
      <c r="G270" s="173"/>
      <c r="H270" s="173"/>
      <c r="I270" s="173"/>
      <c r="J270" s="173"/>
      <c r="K270" s="173"/>
      <c r="L270" s="36"/>
      <c r="M270" s="181"/>
      <c r="N270" s="57"/>
      <c r="O270" s="57"/>
      <c r="P270" s="57"/>
      <c r="Q270" s="57"/>
      <c r="R270" s="58"/>
      <c r="S270" s="59"/>
    </row>
    <row r="271" ht="391.5" spans="1:19">
      <c r="A271" s="206" t="s">
        <v>852</v>
      </c>
      <c r="B271" s="207" t="s">
        <v>853</v>
      </c>
      <c r="C271" s="179"/>
      <c r="D271" s="183"/>
      <c r="E271" s="63" t="s">
        <v>854</v>
      </c>
      <c r="F271" s="180" t="s">
        <v>195</v>
      </c>
      <c r="G271" s="173"/>
      <c r="H271" s="173"/>
      <c r="I271" s="173"/>
      <c r="J271" s="173"/>
      <c r="K271" s="173"/>
      <c r="L271" s="36" t="s">
        <v>830</v>
      </c>
      <c r="M271" s="181"/>
      <c r="N271" s="57"/>
      <c r="O271" s="57"/>
      <c r="P271" s="57"/>
      <c r="Q271" s="57"/>
      <c r="R271" s="58"/>
      <c r="S271" s="59"/>
    </row>
    <row r="272" ht="29" spans="1:19">
      <c r="A272" s="206" t="s">
        <v>855</v>
      </c>
      <c r="B272" s="207" t="s">
        <v>856</v>
      </c>
      <c r="C272" s="179"/>
      <c r="D272" s="183"/>
      <c r="E272" s="63"/>
      <c r="F272" s="180" t="s">
        <v>195</v>
      </c>
      <c r="G272" s="173"/>
      <c r="H272" s="173"/>
      <c r="I272" s="173"/>
      <c r="J272" s="173"/>
      <c r="K272" s="173"/>
      <c r="L272" s="36" t="s">
        <v>846</v>
      </c>
      <c r="M272" s="181"/>
      <c r="N272" s="57"/>
      <c r="O272" s="57"/>
      <c r="P272" s="57"/>
      <c r="Q272" s="57"/>
      <c r="R272" s="58"/>
      <c r="S272" s="59"/>
    </row>
    <row r="273" s="14" customFormat="1" ht="22.5" customHeight="1" spans="1:19">
      <c r="A273" s="196" t="s">
        <v>857</v>
      </c>
      <c r="B273" s="197"/>
      <c r="C273" s="198"/>
      <c r="D273" s="199"/>
      <c r="E273" s="199"/>
      <c r="F273" s="199"/>
      <c r="G273" s="199"/>
      <c r="H273" s="199"/>
      <c r="I273" s="199"/>
      <c r="J273" s="199"/>
      <c r="K273" s="199"/>
      <c r="L273" s="199"/>
      <c r="M273" s="200"/>
      <c r="N273" s="201"/>
      <c r="O273" s="201"/>
      <c r="P273" s="201"/>
      <c r="Q273" s="201"/>
      <c r="R273" s="202"/>
      <c r="S273" s="210"/>
    </row>
    <row r="274" ht="14.5" spans="1:19">
      <c r="A274" s="168" t="s">
        <v>858</v>
      </c>
      <c r="B274" s="139" t="s">
        <v>859</v>
      </c>
      <c r="C274" s="139"/>
      <c r="D274" s="139"/>
      <c r="E274" s="139"/>
      <c r="F274" s="55" t="s">
        <v>24</v>
      </c>
      <c r="G274" s="136"/>
      <c r="H274" s="136"/>
      <c r="I274" s="136"/>
      <c r="J274" s="79">
        <f>G274+H274+I274</f>
        <v>0</v>
      </c>
      <c r="K274" s="79">
        <f>J274*0.2</f>
        <v>0</v>
      </c>
      <c r="L274" s="101">
        <f>ROUND((J274+K274),0)</f>
        <v>0</v>
      </c>
      <c r="M274" s="138"/>
      <c r="N274" s="57"/>
      <c r="O274" s="57"/>
      <c r="P274" s="57"/>
      <c r="Q274" s="57"/>
      <c r="R274" s="58"/>
      <c r="S274" s="59"/>
    </row>
    <row r="275" ht="65" spans="1:19">
      <c r="A275" s="168" t="s">
        <v>860</v>
      </c>
      <c r="B275" s="183" t="s">
        <v>861</v>
      </c>
      <c r="C275" s="183" t="s">
        <v>862</v>
      </c>
      <c r="D275" s="183"/>
      <c r="E275" s="183" t="s">
        <v>344</v>
      </c>
      <c r="F275" s="184" t="s">
        <v>47</v>
      </c>
      <c r="G275" s="173"/>
      <c r="H275" s="173"/>
      <c r="I275" s="173"/>
      <c r="J275" s="79">
        <f>G275+H275+I275</f>
        <v>0</v>
      </c>
      <c r="K275" s="79">
        <f>J275*0.25</f>
        <v>0</v>
      </c>
      <c r="L275" s="101">
        <f>ROUND((J275+K275),0)</f>
        <v>0</v>
      </c>
      <c r="M275" s="138"/>
      <c r="N275" s="57"/>
      <c r="O275" s="57"/>
      <c r="P275" s="57"/>
      <c r="Q275" s="57"/>
      <c r="R275" s="58"/>
      <c r="S275" s="59"/>
    </row>
    <row r="276" ht="65" spans="1:19">
      <c r="A276" s="168" t="s">
        <v>863</v>
      </c>
      <c r="B276" s="183" t="s">
        <v>864</v>
      </c>
      <c r="C276" s="183" t="s">
        <v>865</v>
      </c>
      <c r="D276" s="183"/>
      <c r="E276" s="183" t="s">
        <v>344</v>
      </c>
      <c r="F276" s="184" t="s">
        <v>47</v>
      </c>
      <c r="G276" s="173"/>
      <c r="H276" s="173"/>
      <c r="I276" s="173"/>
      <c r="J276" s="79">
        <f>G276+H276+I276</f>
        <v>0</v>
      </c>
      <c r="K276" s="79">
        <f>J276*0.25</f>
        <v>0</v>
      </c>
      <c r="L276" s="101">
        <f>ROUND((J276+K276),0)</f>
        <v>0</v>
      </c>
      <c r="M276" s="138"/>
      <c r="N276" s="57"/>
      <c r="O276" s="57"/>
      <c r="P276" s="57"/>
      <c r="Q276" s="57"/>
      <c r="R276" s="58"/>
      <c r="S276" s="59"/>
    </row>
    <row r="277" spans="1:19">
      <c r="A277" s="165"/>
      <c r="B277" s="139"/>
      <c r="C277" s="139"/>
      <c r="D277" s="139"/>
      <c r="E277" s="139"/>
      <c r="F277" s="140"/>
      <c r="G277" s="136"/>
      <c r="H277" s="136"/>
      <c r="I277" s="136"/>
      <c r="J277" s="136"/>
      <c r="K277" s="136"/>
      <c r="L277" s="137"/>
      <c r="M277" s="138"/>
      <c r="N277" s="57"/>
      <c r="O277" s="57"/>
      <c r="P277" s="57"/>
      <c r="Q277" s="57"/>
      <c r="R277" s="58"/>
      <c r="S277" s="59"/>
    </row>
    <row r="278" spans="1:19">
      <c r="A278" s="165"/>
      <c r="B278" s="139"/>
      <c r="C278" s="139"/>
      <c r="D278" s="139"/>
      <c r="E278" s="139"/>
      <c r="F278" s="140"/>
      <c r="G278" s="136"/>
      <c r="H278" s="136"/>
      <c r="I278" s="136"/>
      <c r="J278" s="136"/>
      <c r="K278" s="136"/>
      <c r="L278" s="137"/>
      <c r="M278" s="138"/>
      <c r="N278" s="57"/>
      <c r="O278" s="57"/>
      <c r="P278" s="57"/>
      <c r="Q278" s="57"/>
      <c r="R278" s="58"/>
      <c r="S278" s="59"/>
    </row>
  </sheetData>
  <mergeCells count="62">
    <mergeCell ref="A1:S1"/>
    <mergeCell ref="G2:M2"/>
    <mergeCell ref="N2:Q2"/>
    <mergeCell ref="N3:Q3"/>
    <mergeCell ref="A6:C6"/>
    <mergeCell ref="A40:C40"/>
    <mergeCell ref="A72:C72"/>
    <mergeCell ref="B73:C73"/>
    <mergeCell ref="F105:K105"/>
    <mergeCell ref="F106:K106"/>
    <mergeCell ref="F111:K111"/>
    <mergeCell ref="B112:C112"/>
    <mergeCell ref="F113:K113"/>
    <mergeCell ref="F116:K116"/>
    <mergeCell ref="A131:C131"/>
    <mergeCell ref="B132:C132"/>
    <mergeCell ref="A167:C167"/>
    <mergeCell ref="A184:C184"/>
    <mergeCell ref="B185:C185"/>
    <mergeCell ref="B186:C186"/>
    <mergeCell ref="B193:C193"/>
    <mergeCell ref="B196:C196"/>
    <mergeCell ref="B203:C203"/>
    <mergeCell ref="A207:C207"/>
    <mergeCell ref="B208:C208"/>
    <mergeCell ref="B222:C222"/>
    <mergeCell ref="A226:C226"/>
    <mergeCell ref="A233:C233"/>
    <mergeCell ref="A259:C259"/>
    <mergeCell ref="A273:C273"/>
    <mergeCell ref="A3:A5"/>
    <mergeCell ref="B3:B5"/>
    <mergeCell ref="B264:B267"/>
    <mergeCell ref="C3:C5"/>
    <mergeCell ref="C197:C200"/>
    <mergeCell ref="D3:D5"/>
    <mergeCell ref="D186:D195"/>
    <mergeCell ref="D209:D214"/>
    <mergeCell ref="E3:E5"/>
    <mergeCell ref="E58:E60"/>
    <mergeCell ref="E78:E79"/>
    <mergeCell ref="E187:E192"/>
    <mergeCell ref="E197:E201"/>
    <mergeCell ref="E204:E206"/>
    <mergeCell ref="E209:E214"/>
    <mergeCell ref="E227:E231"/>
    <mergeCell ref="F3:F5"/>
    <mergeCell ref="G4:G5"/>
    <mergeCell ref="H4:H5"/>
    <mergeCell ref="I4:I5"/>
    <mergeCell ref="J4:J5"/>
    <mergeCell ref="K3:K5"/>
    <mergeCell ref="L3:L5"/>
    <mergeCell ref="M3:M5"/>
    <mergeCell ref="M264:M265"/>
    <mergeCell ref="M266:M267"/>
    <mergeCell ref="N4:N5"/>
    <mergeCell ref="O4:O5"/>
    <mergeCell ref="P4:P5"/>
    <mergeCell ref="Q4:Q5"/>
    <mergeCell ref="R3:R5"/>
    <mergeCell ref="S3:S5"/>
  </mergeCells>
  <pageMargins left="0.25" right="0.25" top="0.75" bottom="0.75" header="0.298611111111111" footer="0.298611111111111"/>
  <pageSetup paperSize="9" scale="39"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G15"/>
  <sheetViews>
    <sheetView view="pageBreakPreview" zoomScale="85" zoomScaleNormal="70" topLeftCell="A6" workbookViewId="0">
      <selection activeCell="A15" sqref="A15:F15"/>
    </sheetView>
  </sheetViews>
  <sheetFormatPr defaultColWidth="8.37272727272727" defaultRowHeight="13" outlineLevelCol="6"/>
  <cols>
    <col min="1" max="1" width="6" style="1" customWidth="1"/>
    <col min="2" max="2" width="12.3727272727273" style="1" customWidth="1"/>
    <col min="3" max="3" width="71" style="2" customWidth="1"/>
    <col min="4" max="4" width="28.5" style="1" customWidth="1"/>
    <col min="5" max="5" width="5.12727272727273" style="1" customWidth="1"/>
    <col min="6" max="6" width="6.62727272727273" style="1" customWidth="1"/>
    <col min="7" max="16384" width="8.37272727272727" style="1"/>
  </cols>
  <sheetData>
    <row r="1" ht="25.15" customHeight="1" spans="1:7">
      <c r="A1" s="3" t="s">
        <v>866</v>
      </c>
      <c r="B1" s="3"/>
      <c r="C1" s="4"/>
      <c r="D1" s="3"/>
      <c r="E1" s="3"/>
      <c r="F1" s="3"/>
    </row>
    <row r="2" ht="24" customHeight="1" spans="1:7">
      <c r="A2" s="5" t="s">
        <v>867</v>
      </c>
      <c r="B2" s="5" t="s">
        <v>868</v>
      </c>
      <c r="C2" s="6" t="s">
        <v>869</v>
      </c>
      <c r="D2" s="6" t="s">
        <v>870</v>
      </c>
      <c r="E2" s="5" t="s">
        <v>871</v>
      </c>
      <c r="F2" s="7" t="s">
        <v>872</v>
      </c>
    </row>
    <row r="3" s="1" customFormat="1" ht="68.45" customHeight="1" spans="1:7">
      <c r="A3" s="8">
        <v>1</v>
      </c>
      <c r="B3" s="9" t="s">
        <v>819</v>
      </c>
      <c r="C3" s="10" t="s">
        <v>873</v>
      </c>
      <c r="D3" s="9" t="s">
        <v>874</v>
      </c>
      <c r="E3" s="8" t="s">
        <v>875</v>
      </c>
      <c r="F3" s="11"/>
    </row>
    <row r="4" s="1" customFormat="1" ht="76.15" customHeight="1" spans="1:7">
      <c r="A4" s="8">
        <v>2</v>
      </c>
      <c r="B4" s="9" t="s">
        <v>876</v>
      </c>
      <c r="C4" s="10" t="s">
        <v>877</v>
      </c>
      <c r="D4" s="9" t="s">
        <v>874</v>
      </c>
      <c r="E4" s="8" t="s">
        <v>875</v>
      </c>
      <c r="F4" s="11"/>
    </row>
    <row r="5" s="1" customFormat="1" ht="277.5" customHeight="1" spans="1:7">
      <c r="A5" s="8">
        <v>3</v>
      </c>
      <c r="B5" s="9" t="s">
        <v>878</v>
      </c>
      <c r="C5" s="10" t="s">
        <v>879</v>
      </c>
      <c r="D5" s="9" t="s">
        <v>874</v>
      </c>
      <c r="E5" s="8" t="s">
        <v>875</v>
      </c>
      <c r="F5" s="11"/>
    </row>
    <row r="6" s="1" customFormat="1" ht="156" spans="1:7">
      <c r="A6" s="8">
        <v>4</v>
      </c>
      <c r="B6" s="9" t="s">
        <v>880</v>
      </c>
      <c r="C6" s="10" t="s">
        <v>881</v>
      </c>
      <c r="D6" s="9" t="s">
        <v>874</v>
      </c>
      <c r="E6" s="8" t="s">
        <v>875</v>
      </c>
      <c r="F6" s="11"/>
    </row>
    <row r="7" ht="52" spans="1:7">
      <c r="A7" s="8">
        <v>5</v>
      </c>
      <c r="B7" s="9" t="s">
        <v>882</v>
      </c>
      <c r="C7" s="10" t="s">
        <v>883</v>
      </c>
      <c r="D7" s="9" t="s">
        <v>874</v>
      </c>
      <c r="E7" s="8" t="s">
        <v>875</v>
      </c>
      <c r="F7" s="11"/>
    </row>
    <row r="8" s="1" customFormat="1" ht="65" spans="1:7">
      <c r="A8" s="8">
        <v>6</v>
      </c>
      <c r="B8" s="9" t="s">
        <v>884</v>
      </c>
      <c r="C8" s="10" t="s">
        <v>885</v>
      </c>
      <c r="D8" s="9" t="s">
        <v>874</v>
      </c>
      <c r="E8" s="8" t="s">
        <v>875</v>
      </c>
      <c r="F8" s="11"/>
    </row>
    <row r="9" s="1" customFormat="1" ht="65" spans="1:7">
      <c r="A9" s="8">
        <v>7</v>
      </c>
      <c r="B9" s="9" t="s">
        <v>886</v>
      </c>
      <c r="C9" s="10" t="s">
        <v>887</v>
      </c>
      <c r="D9" s="9" t="s">
        <v>874</v>
      </c>
      <c r="E9" s="8" t="s">
        <v>875</v>
      </c>
      <c r="F9" s="11"/>
    </row>
    <row r="10" s="1" customFormat="1" ht="52" spans="1:7">
      <c r="A10" s="8">
        <v>8</v>
      </c>
      <c r="B10" s="9" t="s">
        <v>888</v>
      </c>
      <c r="C10" s="10" t="s">
        <v>889</v>
      </c>
      <c r="D10" s="9" t="s">
        <v>874</v>
      </c>
      <c r="E10" s="8" t="s">
        <v>875</v>
      </c>
      <c r="F10" s="11"/>
      <c r="G10" s="12"/>
    </row>
    <row r="11" s="1" customFormat="1" ht="65" spans="1:7">
      <c r="A11" s="8">
        <v>9</v>
      </c>
      <c r="B11" s="9" t="s">
        <v>890</v>
      </c>
      <c r="C11" s="10" t="s">
        <v>891</v>
      </c>
      <c r="D11" s="9" t="s">
        <v>892</v>
      </c>
      <c r="E11" s="8" t="s">
        <v>875</v>
      </c>
      <c r="F11" s="11"/>
    </row>
    <row r="12" s="1" customFormat="1" ht="52" spans="1:7">
      <c r="A12" s="8">
        <v>10</v>
      </c>
      <c r="B12" s="9" t="s">
        <v>893</v>
      </c>
      <c r="C12" s="10" t="s">
        <v>894</v>
      </c>
      <c r="D12" s="9" t="s">
        <v>874</v>
      </c>
      <c r="E12" s="8" t="s">
        <v>875</v>
      </c>
      <c r="F12" s="11"/>
    </row>
    <row r="13" s="1" customFormat="1" ht="126.6" customHeight="1" spans="1:7">
      <c r="A13" s="8">
        <v>11</v>
      </c>
      <c r="B13" s="9" t="s">
        <v>895</v>
      </c>
      <c r="C13" s="10" t="s">
        <v>896</v>
      </c>
      <c r="D13" s="9" t="s">
        <v>874</v>
      </c>
      <c r="E13" s="8" t="s">
        <v>875</v>
      </c>
      <c r="F13" s="11"/>
    </row>
    <row r="14" ht="59.45" customHeight="1" spans="1:7">
      <c r="A14" s="8">
        <v>12</v>
      </c>
      <c r="B14" s="9" t="s">
        <v>897</v>
      </c>
      <c r="C14" s="9" t="s">
        <v>898</v>
      </c>
      <c r="D14" s="9" t="s">
        <v>874</v>
      </c>
      <c r="E14" s="8" t="s">
        <v>875</v>
      </c>
      <c r="F14" s="11"/>
    </row>
    <row r="15" ht="93.6" customHeight="1" spans="1:7">
      <c r="A15" s="13" t="s">
        <v>899</v>
      </c>
      <c r="B15" s="13"/>
      <c r="C15" s="13"/>
      <c r="D15" s="13"/>
      <c r="E15" s="13"/>
      <c r="F15" s="13"/>
    </row>
  </sheetData>
  <mergeCells count="2">
    <mergeCell ref="A1:F1"/>
    <mergeCell ref="A15:F15"/>
  </mergeCells>
  <pageMargins left="0.75" right="0.75" top="1" bottom="1" header="0.5" footer="0.5"/>
  <pageSetup paperSize="9" scale="65" orientation="portrait" horizontalDpi="600" vertic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2025旗胜标杆价连接</vt:lpstr>
      <vt:lpstr>措施费说明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kyrie</cp:lastModifiedBy>
  <dcterms:created xsi:type="dcterms:W3CDTF">2025-10-11T03:17:00Z</dcterms:created>
  <dcterms:modified xsi:type="dcterms:W3CDTF">2026-05-20T08:55:21Z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A0107B769F14422A827CC63D2B1A2895_13</vt:lpwstr>
  </property>
  <property fmtid="{D5CDD505-2E9C-101B-9397-08002B2CF9AE}" pid="3" name="KSOProductBuildVer">
    <vt:lpwstr>2052-12.1.0.26375</vt:lpwstr>
  </property>
  <property fmtid="{D5CDD505-2E9C-101B-9397-08002B2CF9AE}" pid="4" name="CalculationRule">
    <vt:i4>0</vt:i4>
  </property>
</Properties>
</file>