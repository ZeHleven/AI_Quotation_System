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2025旗胜标杆价连接" sheetId="2" r:id="rId1"/>
    <sheet name="措施费说明 "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ae1">'[1]21'!$B$1:$B$802</definedName>
    <definedName name="_______W200">'[2]21'!$B$1:$B$802</definedName>
    <definedName name="_______wa2">#REF!</definedName>
    <definedName name="_______ys1">#REF!</definedName>
    <definedName name="_______ys2">#REF!</definedName>
    <definedName name="_______ys3">#REF!</definedName>
    <definedName name="______ae1">'[1]21'!$B$1:$B$802</definedName>
    <definedName name="______W200">'[2]21'!$B$1:$B$802</definedName>
    <definedName name="______wa2">#REF!</definedName>
    <definedName name="______ys1">#REF!</definedName>
    <definedName name="______ys2">#REF!</definedName>
    <definedName name="______ys3">#REF!</definedName>
    <definedName name="_____ae1">'[1]21'!$B$1:$B$802</definedName>
    <definedName name="_____W200">'[2]21'!$B$1:$B$802</definedName>
    <definedName name="_____wa2">#REF!</definedName>
    <definedName name="_____ys1">#REF!</definedName>
    <definedName name="_____ys2">#REF!</definedName>
    <definedName name="_____ys3">#REF!</definedName>
    <definedName name="____ae1">'[1]21'!$B$1:$B$802</definedName>
    <definedName name="____W200">'[2]21'!$B$1:$B$802</definedName>
    <definedName name="____wa2">#REF!</definedName>
    <definedName name="____ys1">#REF!</definedName>
    <definedName name="____ys2">#REF!</definedName>
    <definedName name="____ys3">#REF!</definedName>
    <definedName name="___ae1">'[1]21'!$B$1:$B$802</definedName>
    <definedName name="___ngk1109" hidden="1">{#N/A,#N/A,FALSE,"估價單  (3)"}</definedName>
    <definedName name="___W200">'[2]21'!$B$1:$B$802</definedName>
    <definedName name="___wa2">#REF!</definedName>
    <definedName name="___ys1">#REF!</definedName>
    <definedName name="___ys2">#REF!</definedName>
    <definedName name="___ys3">#REF!</definedName>
    <definedName name="__ae1">'[1]21'!$B$1:$B$802</definedName>
    <definedName name="__ngk1109" hidden="1">{#N/A,#N/A,FALSE,"估價單  (3)"}</definedName>
    <definedName name="__W200">'[2]21'!$B$1:$B$802</definedName>
    <definedName name="__wa2">#REF!</definedName>
    <definedName name="__ys1">#REF!</definedName>
    <definedName name="__ys2">#REF!</definedName>
    <definedName name="__ys3">#REF!</definedName>
    <definedName name="_ae1">'[1]21'!$B$1:$B$802</definedName>
    <definedName name="_Fill" hidden="1">[16]eqpmad2!#REF!</definedName>
    <definedName name="_Order1" hidden="1">255</definedName>
    <definedName name="_W200">'[2]21'!$B$1:$B$802</definedName>
    <definedName name="_wa2">#REF!</definedName>
    <definedName name="_ys1">#REF!</definedName>
    <definedName name="_ys2">#REF!</definedName>
    <definedName name="_ys3">#REF!</definedName>
    <definedName name="a">#REF!</definedName>
    <definedName name="a2裙楼">#REF!</definedName>
    <definedName name="a5裙楼">#REF!</definedName>
    <definedName name="a7地块5裙楼">#REF!</definedName>
    <definedName name="a7地块5塔楼">#REF!</definedName>
    <definedName name="a7地块6裙楼">#REF!</definedName>
    <definedName name="a7地块6塔楼">#REF!</definedName>
    <definedName name="a7地块7裙楼">#REF!</definedName>
    <definedName name="a7地块7塔楼">#REF!</definedName>
    <definedName name="aa">#REF!</definedName>
    <definedName name="aaa">#REF!</definedName>
    <definedName name="aaaa">#REF!</definedName>
    <definedName name="aaaaa">[3]投标总结!#REF!</definedName>
    <definedName name="abc" hidden="1">{#N/A,#N/A,FALSE,"估價單  (3)"}</definedName>
    <definedName name="abcd">#REF!</definedName>
    <definedName name="ac">'[1]21'!$B$1:$B$802</definedName>
    <definedName name="ad">'[2]21'!$A$1:$A$802</definedName>
    <definedName name="ae">'[2]21'!$B$1:$B$802</definedName>
    <definedName name="all">#REF!</definedName>
    <definedName name="as">#REF!</definedName>
    <definedName name="a地库面积">[4]Sheet1!$I$3</definedName>
    <definedName name="a地库总面积">'[4]暗渠以西人防地库（暂定）'!$Y$27</definedName>
    <definedName name="a人防地库面积">'[4]暗渠以西人防地库（暂定）'!$O$2</definedName>
    <definedName name="a人防钢筋总量">[5]Sheet4!$C$22</definedName>
    <definedName name="a人防面积">[4]Sheet1!$D$20</definedName>
    <definedName name="b">#REF!</definedName>
    <definedName name="bb">#REF!</definedName>
    <definedName name="bbb">#REF!</definedName>
    <definedName name="cap">#REF!</definedName>
    <definedName name="cc">#REF!</definedName>
    <definedName name="ccc">#REF!</definedName>
    <definedName name="cola">#REF!</definedName>
    <definedName name="colb">#REF!</definedName>
    <definedName name="d">#REF!</definedName>
    <definedName name="Database" hidden="1">#REF!</definedName>
    <definedName name="dd">#REF!</definedName>
    <definedName name="ddd">#REF!</definedName>
    <definedName name="dddd">[3]投标总结!#REF!</definedName>
    <definedName name="df" hidden="1">{#N/A,#N/A,FALSE,"估價單  (3)"}</definedName>
    <definedName name="dk">#REF!</definedName>
    <definedName name="dw">[6]单位库!$A:$A</definedName>
    <definedName name="e">#REF!</definedName>
    <definedName name="eeeee">[3]投标总结!#REF!</definedName>
    <definedName name="ei" hidden="1">{#N/A,#N/A,FALSE,"估價單  (3)"}</definedName>
    <definedName name="ER">#REF!</definedName>
    <definedName name="err">#REF!</definedName>
    <definedName name="et">#REF!</definedName>
    <definedName name="ew">#REF!</definedName>
    <definedName name="f">#REF!</definedName>
    <definedName name="ff">#REF!</definedName>
    <definedName name="fff">[3]投标总结!#REF!</definedName>
    <definedName name="ffff">[3]投标总结!#REF!</definedName>
    <definedName name="fg">#REF!</definedName>
    <definedName name="fry" hidden="1">{#N/A,#N/A,FALSE,"估價單  (3)"}</definedName>
    <definedName name="gfs" hidden="1">{#N/A,#N/A,FALSE,"估價單  (3)"}</definedName>
    <definedName name="gg">#REF!</definedName>
    <definedName name="gh">#REF!</definedName>
    <definedName name="growth">#REF!</definedName>
    <definedName name="h">#REF!</definedName>
    <definedName name="hh">#REF!</definedName>
    <definedName name="hhh">[3]投标总结!#REF!</definedName>
    <definedName name="hu">#REF!</definedName>
    <definedName name="i">#REF!</definedName>
    <definedName name="j">#REF!</definedName>
    <definedName name="jg">#REF!</definedName>
    <definedName name="jk">#REF!</definedName>
    <definedName name="k">#REF!</definedName>
    <definedName name="kj">#REF!</definedName>
    <definedName name="kk">#REF!</definedName>
    <definedName name="kkk">#REF!</definedName>
    <definedName name="l">#REF!</definedName>
    <definedName name="lap">[7]General!$B$2:$G$9</definedName>
    <definedName name="lk">#REF!</definedName>
    <definedName name="ll">#REF!</definedName>
    <definedName name="lll">#REF!</definedName>
    <definedName name="lp">#REF!</definedName>
    <definedName name="m">#REF!</definedName>
    <definedName name="mm">#REF!</definedName>
    <definedName name="mn">#REF!</definedName>
    <definedName name="n">#REF!</definedName>
    <definedName name="NGK" hidden="1">{#N/A,#N/A,FALSE,"估價單  (3)"}</definedName>
    <definedName name="nn">#REF!</definedName>
    <definedName name="nnn">#REF!</definedName>
    <definedName name="o">#REF!</definedName>
    <definedName name="oo">#REF!</definedName>
    <definedName name="p">#REF!</definedName>
    <definedName name="po">#REF!</definedName>
    <definedName name="ppp">[3]投标总结!#REF!</definedName>
    <definedName name="q">#REF!</definedName>
    <definedName name="qd">'[8]21'!$A$1:$A$802</definedName>
    <definedName name="qw">#REF!</definedName>
    <definedName name="rr">#REF!</definedName>
    <definedName name="s">#REF!</definedName>
    <definedName name="sd">#REF!</definedName>
    <definedName name="ss">#REF!</definedName>
    <definedName name="t">#REF!</definedName>
    <definedName name="tr">#REF!</definedName>
    <definedName name="tt">#REF!</definedName>
    <definedName name="ty">#REF!</definedName>
    <definedName name="u">#REF!</definedName>
    <definedName name="ui">#REF!</definedName>
    <definedName name="uu">#REF!</definedName>
    <definedName name="v">#REF!</definedName>
    <definedName name="vb">#REF!</definedName>
    <definedName name="vh">#REF!</definedName>
    <definedName name="vv">#REF!</definedName>
    <definedName name="w">#REF!</definedName>
    <definedName name="wrn.TEST." hidden="1">{#N/A,#N/A,FALSE,"估價單  (3)"}</definedName>
    <definedName name="www">#REF!</definedName>
    <definedName name="x">#REF!</definedName>
    <definedName name="xc">#REF!</definedName>
    <definedName name="xx">#REF!</definedName>
    <definedName name="y">#REF!</definedName>
    <definedName name="yu">#REF!</definedName>
    <definedName name="yy">#REF!</definedName>
    <definedName name="yyyyyyrrrrrrrrrrrrr" hidden="1">{#N/A,#N/A,FALSE,"估價單  (3)"}</definedName>
    <definedName name="yyyyyyyyyyyyyyyyyyyyyyy" hidden="1">{#N/A,#N/A,FALSE,"估價單  (3)"}</definedName>
    <definedName name="z">#REF!</definedName>
    <definedName name="Z_0058B45D_7992_4448_BD80_AE962740AB39_.wvu.FilterData" hidden="1">#REF!</definedName>
    <definedName name="Z_0B038325_8511_4DD4_9DFD_2A91B2552006_.wvu.FilterData" hidden="1">#REF!</definedName>
    <definedName name="Z_0BE6C8FF_2B3F_49B1_8AA3_F98CFCEF68DF_.wvu.FilterData" hidden="1">#REF!</definedName>
    <definedName name="Z_13B0B168_C534_4752_859F_AAFCE7EC88AD_.wvu.FilterData" hidden="1">#REF!</definedName>
    <definedName name="Z_1E4B37F5_72C2_4D1E_9B49_C9394195F0C3_.wvu.FilterData" hidden="1">#REF!</definedName>
    <definedName name="Z_203B274A_8FFE_49FE_8CEC_AD7CC2C63A3E_.wvu.FilterData" hidden="1">#REF!</definedName>
    <definedName name="Z_24705FDD_926F_4BD2_984A_E37AA184C985_.wvu.FilterData" hidden="1">#REF!</definedName>
    <definedName name="Z_27D16A05_9F79_4801_B695_0DB2629D23F2_.wvu.PrintTitles" hidden="1">[17]隔墙!$1:$4</definedName>
    <definedName name="Z_36118340_1C03_4645_958C_8207EC7329B8_.wvu.FilterData" hidden="1">#REF!</definedName>
    <definedName name="Z_4D56C8A5_73A9_4726_BF53_E5DCDD246918_.wvu.FilterData" hidden="1">#REF!</definedName>
    <definedName name="Z_536006E9_8798_4C82_AE73_EAB993272197_.wvu.FilterData" hidden="1">#REF!</definedName>
    <definedName name="Z_5705510E_FA18_4671_8B78_C1D639B17842_.wvu.FilterData" hidden="1">#REF!</definedName>
    <definedName name="Z_5BD159C5_976C_406D_AC19_6A13E74D2222_.wvu.FilterData" hidden="1">#REF!</definedName>
    <definedName name="Z_62F8589C_B98B_4FDE_A47F_6FE4E3B8B446_.wvu.FilterData" hidden="1">#REF!</definedName>
    <definedName name="Z_710DBF4E_8146_4DFF_842F_52F88DCB2E2C_.wvu.FilterData" hidden="1">#REF!</definedName>
    <definedName name="Z_82697CDA_4543_4012_BAA7_436302E6754A_.wvu.FilterData" hidden="1">#REF!</definedName>
    <definedName name="Z_9597E1F2_8180_4BE2_949E_DD7EE3EBA0B8_.wvu.FilterData" hidden="1">#REF!</definedName>
    <definedName name="Z_9ACD724C_114F_4C11_9398_063A53C17629_.wvu.FilterData" hidden="1">#REF!</definedName>
    <definedName name="Z_AC55396C_2F31_4CA6_804C_4F5D29795FD9_.wvu.FilterData" hidden="1">#REF!</definedName>
    <definedName name="Z_B169463E_849C_4EAB_8DFD_53F1D90DA235_.wvu.FilterData" hidden="1">#REF!</definedName>
    <definedName name="Z_B23F4FE9_8C5C_407D_A1D6_4C8D69D10111_.wvu.FilterData" hidden="1">#REF!</definedName>
    <definedName name="Z_D0E136C3_F264_4FE5_ABB3_5F506C40DA85_.wvu.FilterData" hidden="1">#REF!</definedName>
    <definedName name="Z_D6043939_92BE_47F4_86E4_3A61CAD86EA4_.wvu.FilterData" hidden="1">#REF!</definedName>
    <definedName name="Z_E378A284_4687_4523_8ECD_6D118667D665_.wvu.FilterData" hidden="1">#REF!</definedName>
    <definedName name="Z_FEAF1123_4144_4FB0_8C0A_A6D2C46D4127_.wvu.FilterData" hidden="1">#REF!</definedName>
    <definedName name="zz">#REF!</definedName>
    <definedName name="啊啊">#REF!</definedName>
    <definedName name="半地下室0">[9]主要规划指标!#REF!</definedName>
    <definedName name="半地下室1">[10]主要规划指标!#REF!</definedName>
    <definedName name="半地下室2">[10]主要规划指标!#REF!</definedName>
    <definedName name="半地下室3">[10]主要规划指标!#REF!</definedName>
    <definedName name="半地下室4">[10]主要规划指标!#REF!</definedName>
    <definedName name="半地下室5">[10]主要规划指标!#REF!</definedName>
    <definedName name="半地下室6">[10]主要规划指标!#REF!</definedName>
    <definedName name="半地下室7">[10]主要规划指标!#REF!</definedName>
    <definedName name="半地下室8">[10]主要规划指标!#REF!</definedName>
    <definedName name="承接单位">[18]基本设置!$D$9</definedName>
    <definedName name="大型商场面积">[10]主要规划指标!#REF!</definedName>
    <definedName name="道路占有率1">[10]主要规划指标!#REF!</definedName>
    <definedName name="地库电气">'[11]塔楼给排水清单 '!$I$2</definedName>
    <definedName name="地面停车位1">[10]主要规划指标!#REF!</definedName>
    <definedName name="地面停车位2">[10]主要规划指标!#REF!</definedName>
    <definedName name="地面停车位3">[10]主要规划指标!#REF!</definedName>
    <definedName name="地面停车位4">[10]主要规划指标!#REF!</definedName>
    <definedName name="地面停车位5">[10]主要规划指标!#REF!</definedName>
    <definedName name="地面停车位6">[10]主要规划指标!#REF!</definedName>
    <definedName name="地面停车位7">[10]主要规划指标!#REF!</definedName>
    <definedName name="地面停车位8">[10]主要规划指标!#REF!</definedName>
    <definedName name="地饰面">#REF!</definedName>
    <definedName name="地下室面积">[10]主要规划指标!#REF!</definedName>
    <definedName name="地下室总面积">[10]主要规划指标!#REF!</definedName>
    <definedName name="电气">#REF!</definedName>
    <definedName name="顶饰面">#REF!</definedName>
    <definedName name="多层建筑面积">[10]主要规划指标!#REF!</definedName>
    <definedName name="多层建筑面积1">[10]主要规划指标!#REF!</definedName>
    <definedName name="多层建筑面积2">[10]主要规划指标!#REF!</definedName>
    <definedName name="多层建筑面积3">[10]主要规划指标!#REF!</definedName>
    <definedName name="多层建筑面积4">[10]主要规划指标!#REF!</definedName>
    <definedName name="多层建筑面积5">[10]主要规划指标!#REF!</definedName>
    <definedName name="多层建筑面积6">[10]主要规划指标!#REF!</definedName>
    <definedName name="多层建筑面积7">[10]主要规划指标!#REF!</definedName>
    <definedName name="多层建筑面积8">[10]主要规划指标!#REF!</definedName>
    <definedName name="多层面积">[12]主要规划指标!$D$9</definedName>
    <definedName name="阀门">'[11]塔楼给排水清单 '!$I$2</definedName>
    <definedName name="飞">#REF!</definedName>
    <definedName name="非人防地下室">[10]主要规划指标!#REF!</definedName>
    <definedName name="各产品类型目标成本表">#REF!</definedName>
    <definedName name="给排水.材料名称">OFFSET([19]给排水设置!$F$1,1,MATCH([19]给排水计算!$C1,[19]给排水设置!$F$1:$IV$1,0)-1,COUNTA(OFFSET([19]给排水设置!$F$1,1,MATCH([19]给排水计算!$C1,[19]给排水设置!$F$1:$IV$1,0)-1,500,1)),1)</definedName>
    <definedName name="公建配套面积">[10]主要规划指标!#REF!</definedName>
    <definedName name="估價單" hidden="1">{#N/A,#N/A,FALSE,"估價單  (3)"}</definedName>
    <definedName name="管理用房面积">[10]主要规划指标!#REF!</definedName>
    <definedName name="核减金额">#REF!</definedName>
    <definedName name="核增减金额">#REF!</definedName>
    <definedName name="核增金额">#REF!</definedName>
    <definedName name="宏1">#REF!</definedName>
    <definedName name="宏2">#REF!</definedName>
    <definedName name="户数1">[10]主要规划指标!#REF!</definedName>
    <definedName name="会所面积">[10]主要规划指标!#REF!</definedName>
    <definedName name="计容积率面积">[10]主要规划指标!#REF!</definedName>
    <definedName name="架空层面积">[12]主要规划指标!$D$24</definedName>
    <definedName name="架空层面积1">[10]主要规划指标!#REF!</definedName>
    <definedName name="架空层面积2">[10]主要规划指标!#REF!</definedName>
    <definedName name="架空层面积3">[10]主要规划指标!#REF!</definedName>
    <definedName name="架空层面积4">[10]主要规划指标!#REF!</definedName>
    <definedName name="架空层面积5">[10]主要规划指标!#REF!</definedName>
    <definedName name="架空层面积6">[10]主要规划指标!#REF!</definedName>
    <definedName name="架空层面积7">[10]主要规划指标!#REF!</definedName>
    <definedName name="架空层面积8">[10]主要规划指标!#REF!</definedName>
    <definedName name="建筑覆盖率1">[10]主要规划指标!#REF!</definedName>
    <definedName name="建筑面积">#REF!</definedName>
    <definedName name="洁具">#REF!</definedName>
    <definedName name="酒店面积">[10]主要规划指标!#REF!</definedName>
    <definedName name="据">[10]主要规划指标!#REF!</definedName>
    <definedName name="可销售面积">[12]主要规划指标!$D$16</definedName>
    <definedName name="可销售面积1">[10]主要规划指标!#REF!</definedName>
    <definedName name="可销售面积2">[10]主要规划指标!#REF!</definedName>
    <definedName name="可销售面积3">[10]主要规划指标!#REF!</definedName>
    <definedName name="可研销售面积">[10]主要规划指标!#REF!</definedName>
    <definedName name="连廊面积">[10]主要规划指标!#REF!</definedName>
    <definedName name="零星主材">#REF!</definedName>
    <definedName name="楼梯间">'[8]21'!$A$1:$A$802</definedName>
    <definedName name="绿地率">[10]主要规划指标!#REF!</definedName>
    <definedName name="绿地率1">[10]主要规划指标!#REF!</definedName>
    <definedName name="绿地率2">[10]主要规划指标!#REF!</definedName>
    <definedName name="绿地率3">[10]主要规划指标!#REF!</definedName>
    <definedName name="绿地率4">[10]主要规划指标!#REF!</definedName>
    <definedName name="绿地率5">[10]主要规划指标!#REF!</definedName>
    <definedName name="绿地率6">[10]主要规划指标!#REF!</definedName>
    <definedName name="绿地率7">[10]主要规划指标!#REF!</definedName>
    <definedName name="绿地率8">[10]主要规划指标!#REF!</definedName>
    <definedName name="面积">#REF!</definedName>
    <definedName name="内街商铺面积">[10]主要规划指标!#REF!</definedName>
    <definedName name="排水管线">[13]基础数据!$AB$2:$AB$10</definedName>
    <definedName name="配件">#REF!</definedName>
    <definedName name="前期">#REF!</definedName>
    <definedName name="墙饰面">#REF!</definedName>
    <definedName name="人防地下室">[10]主要规划指标!#REF!</definedName>
    <definedName name="人防地下室1">[10]主要规划指标!#REF!</definedName>
    <definedName name="人防地下室2">[10]主要规划指标!#REF!</definedName>
    <definedName name="人防地下室3">[10]主要规划指标!#REF!</definedName>
    <definedName name="人防地下室4">[10]主要规划指标!#REF!</definedName>
    <definedName name="人防地下室5">[10]主要规划指标!#REF!</definedName>
    <definedName name="人防地下室6">[10]主要规划指标!#REF!</definedName>
    <definedName name="人防地下室7">[10]主要规划指标!#REF!</definedName>
    <definedName name="人防地下室8">[10]主要规划指标!#REF!</definedName>
    <definedName name="容">[10]主要规划指标!#REF!</definedName>
    <definedName name="容积率">[10]主要规划指标!#REF!</definedName>
    <definedName name="容积率1">[10]主要规划指标!#REF!</definedName>
    <definedName name="容积率2">[10]主要规划指标!#REF!</definedName>
    <definedName name="商场1">[10]主要规划指标!#REF!</definedName>
    <definedName name="商铺">[12]主要规划指标!$D$12</definedName>
    <definedName name="商铺1">[10]主要规划指标!#REF!</definedName>
    <definedName name="商业面积">[10]主要规划指标!#REF!</definedName>
    <definedName name="商业面积1">[10]主要规划指标!#REF!</definedName>
    <definedName name="商业面积4">[10]主要规划指标!#REF!</definedName>
    <definedName name="审定金额">#REF!</definedName>
    <definedName name="审定日期">#REF!</definedName>
    <definedName name="施工">#REF!</definedName>
    <definedName name="送审金额">#REF!</definedName>
    <definedName name="外廊架空层面积">[10]主要规划指标!#REF!</definedName>
    <definedName name="外廊商铺面积">[10]主要规划指标!#REF!</definedName>
    <definedName name="外墙装饰">[13]基础数据!$O$2:$O$8</definedName>
    <definedName name="项目类别">#REF!</definedName>
    <definedName name="小高层建筑面积">[10]主要规划指标!#REF!</definedName>
    <definedName name="小高层建筑面积1">[10]主要规划指标!#REF!</definedName>
    <definedName name="小高层建筑面积2">[10]主要规划指标!#REF!</definedName>
    <definedName name="小高层建筑面积3">[10]主要规划指标!#REF!</definedName>
    <definedName name="小高层建筑面积4">[10]主要规划指标!#REF!</definedName>
    <definedName name="小高层建筑面积5">[10]主要规划指标!#REF!</definedName>
    <definedName name="小高层建筑面积6">[10]主要规划指标!#REF!</definedName>
    <definedName name="小高层建筑面积7">[10]主要规划指标!#REF!</definedName>
    <definedName name="小高层建筑面积8">[10]主要规划指标!#REF!</definedName>
    <definedName name="小高层面积">[12]主要规划指标!$D$10</definedName>
    <definedName name="小学面积">[10]主要规划指标!#REF!</definedName>
    <definedName name="小学面积4">[10]主要规划指标!#REF!</definedName>
    <definedName name="依据">#REF!</definedName>
    <definedName name="幼儿园面积">[10]主要规划指标!#REF!</definedName>
    <definedName name="预控占地面积">[10]主要规划指标!#REF!</definedName>
    <definedName name="预控占地面积之一">[10]主要规划指标!#REF!</definedName>
    <definedName name="占地面积">[10]主要规划指标!#REF!</definedName>
    <definedName name="折扣保留">#REF!</definedName>
    <definedName name="折扣率">#REF!</definedName>
    <definedName name="中高层建筑面积1">[10]主要规划指标!#REF!</definedName>
    <definedName name="中高层建筑面积2">[14]主要规划指标!$D$12</definedName>
    <definedName name="中高层建筑面积3">[14]主要规划指标!$E$12</definedName>
    <definedName name="中高层面积">[12]主要规划指标!$D$11</definedName>
    <definedName name="主题商业面积">[10]主要规划指标!#REF!</definedName>
    <definedName name="住宅面积">[10]主要规划指标!#REF!</definedName>
    <definedName name="住宅转换层面积">[10]主要规划指标!#REF!</definedName>
    <definedName name="转">'[15]21'!$B$1:$B$802</definedName>
    <definedName name="总的商业面积">[10]主要规划指标!#REF!</definedName>
    <definedName name="总商业面积">[10]主要规划指标!#REF!</definedName>
    <definedName name="저층부공내역" hidden="1">{#N/A,#N/A,FALSE,"估價單  (3)"}</definedName>
    <definedName name="저층부금액" hidden="1">{#N/A,#N/A,FALSE,"估價單  (3)"}</definedName>
    <definedName name="저층부금액1" hidden="1">{#N/A,#N/A,FALSE,"估價單  (3)"}</definedName>
    <definedName name="_xlnm.Print_Area" localSheetId="1">'措施费说明 '!$A$1:$F$16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marco</author>
    <author>Windows 用户</author>
  </authors>
  <commentList>
    <comment ref="C3" authorId="0">
      <text>
        <r>
          <rPr>
            <b/>
            <sz val="9"/>
            <rFont val="宋体"/>
            <charset val="134"/>
          </rPr>
          <t>marco:</t>
        </r>
        <r>
          <rPr>
            <sz val="9"/>
            <rFont val="宋体"/>
            <charset val="134"/>
          </rPr>
          <t xml:space="preserve">
针对具体项目从不同的维度描述清晰：材料品种、规格、长、宽、高、厚、重量、面积、体积、个数……；与计价有关的安装方式</t>
        </r>
      </text>
    </comment>
    <comment ref="I26" authorId="1">
      <text>
        <r>
          <rPr>
            <b/>
            <sz val="9"/>
            <rFont val="宋体"/>
            <charset val="134"/>
          </rPr>
          <t>冰：原辅材费是9.22，现参考定额书中册P485的A9-1+A9-3*2的辅材费含量</t>
        </r>
        <r>
          <rPr>
            <sz val="9"/>
            <rFont val="宋体"/>
            <charset val="134"/>
          </rPr>
          <t xml:space="preserve">
</t>
        </r>
      </text>
    </comment>
  </commentList>
</comments>
</file>

<file path=xl/sharedStrings.xml><?xml version="1.0" encoding="utf-8"?>
<sst xmlns="http://schemas.openxmlformats.org/spreadsheetml/2006/main" count="1458" uniqueCount="900">
  <si>
    <t>2025年广东旗胜标杆价（广东省内）</t>
  </si>
  <si>
    <t>建议投标价（批量）</t>
  </si>
  <si>
    <t>劳务发包价B（对于普通住宅批量项目）</t>
  </si>
  <si>
    <t>编号</t>
  </si>
  <si>
    <t xml:space="preserve">项  目  名  称 </t>
  </si>
  <si>
    <t>项目特征</t>
  </si>
  <si>
    <t>计算规则</t>
  </si>
  <si>
    <t>工作内容</t>
  </si>
  <si>
    <t>计量单位</t>
  </si>
  <si>
    <t>管理费、利润
(元)</t>
  </si>
  <si>
    <t>2025年税前综合单价（对甲）</t>
  </si>
  <si>
    <t xml:space="preserve">备     注 </t>
  </si>
  <si>
    <t>现行发包
班组价-标底
（税前）</t>
  </si>
  <si>
    <t>人工费
（元）</t>
  </si>
  <si>
    <t>主材费
（元）</t>
  </si>
  <si>
    <t>辅材费
(元)</t>
  </si>
  <si>
    <t>直接费小计
(元)</t>
  </si>
  <si>
    <t>综合单价
(元)</t>
  </si>
  <si>
    <t xml:space="preserve">第二章、楼地面工程 </t>
  </si>
  <si>
    <t>2-1</t>
  </si>
  <si>
    <t xml:space="preserve">楼地面水泥砂浆找平 </t>
  </si>
  <si>
    <t>厚度:30mm内</t>
  </si>
  <si>
    <t>按相应面层计算规则计算</t>
  </si>
  <si>
    <t>清理基层、备料、调制砂浆、刷水泥浆、抹平压实、抹光、养护</t>
  </si>
  <si>
    <t>㎡</t>
  </si>
  <si>
    <t>2-2</t>
  </si>
  <si>
    <t>卫生间沉箱处理（架空预制盖板制作、安装，面层水泥砂浆找平）60mm厚</t>
  </si>
  <si>
    <t>1、用带筋60mm厚预制盖板连砖砌基座（不小于∮6钢筋）
2、面层1：3水泥砂浆找平</t>
  </si>
  <si>
    <t>备料、砖砌基座、架空预制盖板制作、安装，面层1：3水泥砂浆找平</t>
  </si>
  <si>
    <t>2-3</t>
  </si>
  <si>
    <t>楼地面贴地面砖</t>
  </si>
  <si>
    <t>1、＜800mm×800 mm
2、找平层1：3水泥砂浆厚20mm~40mm+结合层水泥膏厚6mm以上（含辅助用白水泥）</t>
  </si>
  <si>
    <t>清理基层、备料、调制砂浆、浸泡块料、刷水泥浆、抹结合层、铺贴、擦缝、清理净面、养护</t>
  </si>
  <si>
    <t>如采用甲供粘结剂铺贴，辅料扣除水泥膏费用4元及相应取费</t>
  </si>
  <si>
    <t>2-4</t>
  </si>
  <si>
    <t>1、≥800mm×800mm
2、找平层1：3水泥砂浆厚20mm~40mm+结合层水泥膏厚6mm以上（含辅助用白水泥）</t>
  </si>
  <si>
    <t>2-5</t>
  </si>
  <si>
    <t>楼地面斜铺及工字铺贴地面砖</t>
  </si>
  <si>
    <t>找平层1：3水泥砂浆厚20mm~40mm+结合层水泥膏厚6mm以上（含辅助用白水泥）</t>
  </si>
  <si>
    <t>2-6</t>
  </si>
  <si>
    <t>楼地面铺贴马赛克（不拼花）</t>
  </si>
  <si>
    <t>1、各种规格
2、找平层1：3水泥砂浆厚20mm~40mm+结合层水泥膏厚6mm以上（含辅助用白水泥）</t>
  </si>
  <si>
    <t>2-7</t>
  </si>
  <si>
    <t>厨房红砖砌地台(1/4砖)连水泥砂浆抹灰</t>
  </si>
  <si>
    <t>1、W550宽×100mm高
2、构造宽度550左右</t>
  </si>
  <si>
    <t>按正立面延长米计算</t>
  </si>
  <si>
    <t>M5.0水泥砂浆、M5.0红砖（灰砂砖）、1：2.5水泥沙浆抹灰</t>
  </si>
  <si>
    <t>m</t>
  </si>
  <si>
    <t>2-8</t>
  </si>
  <si>
    <t>楼梯踏步及室内台阶铺贴地面砖</t>
  </si>
  <si>
    <t>1、各种规格
2、找平层1：3水泥砂浆厚20mm~40mm+结合层水泥膏厚6mm以上（含辅助用白水泥）。损耗根据铺贴适当调整，工程量面积按展开计算</t>
  </si>
  <si>
    <t>2-9</t>
  </si>
  <si>
    <t>楼地面铺贴各色石材</t>
  </si>
  <si>
    <t>清理基层、调制砂浆、刷水泥浆、抹结合层、铺贴、填缝、打蜡、擦光。</t>
  </si>
  <si>
    <t>2-10</t>
  </si>
  <si>
    <t>楼地面工字\斜铺\菱形铺等特色铺贴各色石材</t>
  </si>
  <si>
    <t>1、各种规格
2、找平层1：3水泥砂浆厚20mm~40mm+结合层水泥膏厚6mm以上（含辅助用白水泥）。损耗根据铺贴适当调整，面积按展开计算</t>
  </si>
  <si>
    <t>2-11</t>
  </si>
  <si>
    <t>楼梯踏步及室内台阶铺贴各色石材</t>
  </si>
  <si>
    <t>1、各种规格
2、找平层1：3水泥砂浆厚20mm~40mm+结合层水泥膏厚6mm以上（含辅助用白水泥）。含开孔切角。损耗根据铺贴适当调整，面积按展开计算、</t>
  </si>
  <si>
    <t>2-12</t>
  </si>
  <si>
    <t>踏步防滑铜条5*10-20mm（单条）</t>
  </si>
  <si>
    <t>1、5*10-20mm
2、含石材抽坑费用</t>
  </si>
  <si>
    <t>按见光面，延长米计算</t>
  </si>
  <si>
    <t>抽坑槽、安装、清理</t>
  </si>
  <si>
    <t>2-13</t>
  </si>
  <si>
    <t xml:space="preserve">楼地面塑胶卷材地板铺贴（普通大卷，不对花）                                   </t>
  </si>
  <si>
    <t>1、不对花
2、不含自流平、找平层。</t>
  </si>
  <si>
    <t>清理基层、刮腻子、涂刷粘接剂、贴面层、净面</t>
  </si>
  <si>
    <t>2-14</t>
  </si>
  <si>
    <t>地面地毯铺贴（单、双层）</t>
  </si>
  <si>
    <t>1、主材甲供
2、地毯铺贴，含胶垫等辅料</t>
  </si>
  <si>
    <t>清扫基层、拼接、铺设、修边、净面、刷胶、钉压条。包括普通胶垫及防潮层</t>
  </si>
  <si>
    <t>2-15</t>
  </si>
  <si>
    <t>地面工字铺贴实木木地板连9mm夹板基层及防潮(不含地面找平)</t>
  </si>
  <si>
    <t>乙供9厘夹板，含铺珍珠棉防潮层</t>
  </si>
  <si>
    <t>清扫基层、铺防潮层、刷防腐油、满铺九厘夹板、刷胶、铺木地板含收口条、净面。</t>
  </si>
  <si>
    <t>2-16</t>
  </si>
  <si>
    <t>地面斜铺贴实木木地板连9mm夹板基层及防潮(不含地面找平)</t>
  </si>
  <si>
    <t>2-17</t>
  </si>
  <si>
    <t>地面人字铺贴实木木地板连9mm夹板基层及防潮(不含地面找平)</t>
  </si>
  <si>
    <t>2-18</t>
  </si>
  <si>
    <t>铺贴强化（复合）木地板</t>
  </si>
  <si>
    <t>含铺珍珠棉防潮层</t>
  </si>
  <si>
    <t>清理基层、铺设防潮纸（珍珠棉）、铺强化木地板（含收口条）、净面。</t>
  </si>
  <si>
    <t>2-19</t>
  </si>
  <si>
    <t>JS聚合物防水涂料</t>
  </si>
  <si>
    <t>1、涂膜厚度1.5mm以上，防水涂料甲供</t>
  </si>
  <si>
    <t>按相应面层计算规则计算+墙身周边面积计算，扣除门窗洞面积</t>
  </si>
  <si>
    <t>清理基层、涂刷面层</t>
  </si>
  <si>
    <t>2-20</t>
  </si>
  <si>
    <t>地面防水保护层</t>
  </si>
  <si>
    <t xml:space="preserve">
1、地面1：2.5水泥砂浆15mm厚保护层</t>
  </si>
  <si>
    <t>2-21</t>
  </si>
  <si>
    <t>甲供瓷砖脚线安装</t>
  </si>
  <si>
    <t>80~120mm高</t>
  </si>
  <si>
    <t>选料、切割瓷片、抹结合层砂浆、贴面砖、擦缝、清洁表面</t>
  </si>
  <si>
    <t>2-22</t>
  </si>
  <si>
    <t>石材再次清洁、抛光、晶饰、打蜡镜面处理</t>
  </si>
  <si>
    <t>1、专业施工
2、计算范围:适用于公建类如酒店等有特别要求的单独报集团审批批，批量工程不能计取此项（必须根据联系单定取）</t>
  </si>
  <si>
    <t>清理表面、打蜡、磨光</t>
  </si>
  <si>
    <t>按工程中心交付要求执行</t>
  </si>
  <si>
    <t>按工程中心交付要求执行，全国统一</t>
  </si>
  <si>
    <t>2-23</t>
  </si>
  <si>
    <t xml:space="preserve">成品瓷砖波打线（本子目仅计铺120mm宽以内的(含120mm宽)波打线人工费用） </t>
  </si>
  <si>
    <t>1、宽120mm以内
2、找平层1：3水泥砂浆厚20mm~40mm+结合层水泥膏厚6mm以上（含辅助用白水泥）</t>
  </si>
  <si>
    <t>如采用甲供粘结剂铺贴，辅料扣除水泥膏费用0.47元及相应取费</t>
  </si>
  <si>
    <t>2-24</t>
  </si>
  <si>
    <t>成品瓷砖波打线 /门槛 （1、本子目仅计铺120mm～250mm宽(含250mm宽)波打线人工费用；
2、乙供瓷砖另计且粘贴费在瓷砖主材中考虑；
 3、宽超250mm以上瓷砖按楼地面瓷砖以面积计算）</t>
  </si>
  <si>
    <t>1、宽120mm～250mm（含250mm）
2、找平层1：3水泥砂浆厚20mm~40mm+结合层水泥膏厚6mm以上（含辅助用白水泥）</t>
  </si>
  <si>
    <t>如采用甲供粘结剂铺贴，辅料扣除水泥膏费用0.71元及相应取费</t>
  </si>
  <si>
    <t>2-25</t>
  </si>
  <si>
    <t xml:space="preserve">成品石材波打线 /门槛石（1、本子目仅计铺120mm宽以内的(含120mm宽)波打线人工费用；
2、乙供石材另计且粘贴费在石材主材中考虑） </t>
  </si>
  <si>
    <t>1、宽120㎜以内
2、找平层1：3水泥砂浆厚20mm~40mm+结合层水泥膏厚6mm以上（含辅助用白水泥）</t>
  </si>
  <si>
    <t>2-26</t>
  </si>
  <si>
    <t>成品石材波打线 /门槛石 （1、本子目仅计铺120mm～250mm宽(含250mm宽)波打线人工费用；
2、乙供石材另计且粘贴费在石材主材中考虑；
 3、宽超250以上石材按楼地面石材以面积计算）</t>
  </si>
  <si>
    <t>2-27</t>
  </si>
  <si>
    <t>1：3水泥砂浆超厚每增加10mm</t>
  </si>
  <si>
    <t>1、1：3水泥砂浆
2、瓷砖或石材铺贴、水泥砂浆厚度超过指定厚度</t>
  </si>
  <si>
    <t>按面积计算</t>
  </si>
  <si>
    <t>上料、调制砂浆、抹水泥砂浆</t>
  </si>
  <si>
    <t>2-28</t>
  </si>
  <si>
    <r>
      <rPr>
        <sz val="10"/>
        <rFont val="微软雅黑"/>
        <charset val="134"/>
      </rPr>
      <t>楼地面贴地面木纹砖（小规格）≥800mm</t>
    </r>
    <r>
      <rPr>
        <sz val="10"/>
        <rFont val="宋体"/>
        <charset val="134"/>
      </rPr>
      <t>×</t>
    </r>
    <r>
      <rPr>
        <sz val="10"/>
        <rFont val="微软雅黑"/>
        <charset val="134"/>
      </rPr>
      <t>100mm</t>
    </r>
  </si>
  <si>
    <t>按实际铺贴面积计算</t>
  </si>
  <si>
    <t>2-29</t>
  </si>
  <si>
    <t>地暖工程细石混凝土找平层</t>
  </si>
  <si>
    <t>厚度:50mm内</t>
  </si>
  <si>
    <t>清理基层、备料、细石砼制作、刷水泥浆、抹平压实、抹光、养护</t>
  </si>
  <si>
    <t>2-30</t>
  </si>
  <si>
    <t>卫生间陶粒砼（砂浆）回填</t>
  </si>
  <si>
    <t>1、回填陶粒混凝土
2、内设480*80镀锌钢丝网（规格综合考虑，单价不调整）</t>
  </si>
  <si>
    <t>按设计图示尺寸以体积计算</t>
  </si>
  <si>
    <t>清理基层、备料、陶粒砼（制作）运输、捣固、理平、压实、养护、铺设钢丝网</t>
  </si>
  <si>
    <t>m3</t>
  </si>
  <si>
    <t>按C15砼</t>
  </si>
  <si>
    <t>2-31</t>
  </si>
  <si>
    <t>淋浴隔挡水条底座水泥砂浆预埋2.0mm厚止水钢板(H=80mm)</t>
  </si>
  <si>
    <t>1、2.0厚镀锌钢板制安
2、水泥砂浆预埋固定
3、搭接处防水处理</t>
  </si>
  <si>
    <t>清理基层、备料、墙体开槽、安装止水钢板、水泥砂浆抹平收光、地面收净、止水槛与墙地面搭接处加强防水</t>
  </si>
  <si>
    <t>全国统一</t>
  </si>
  <si>
    <t>2-32</t>
  </si>
  <si>
    <t>卫生间素砼防水槛</t>
  </si>
  <si>
    <t>1、宽度250mm以内
2、厚度150mm以内
3、长度1000mm以内</t>
  </si>
  <si>
    <t>按条</t>
  </si>
  <si>
    <t>清理基层、备料、防水砂浆制作浇筑、洒水、养护、清净地面</t>
  </si>
  <si>
    <t>条</t>
  </si>
  <si>
    <t>2-33</t>
  </si>
  <si>
    <t>门套石材脚座</t>
  </si>
  <si>
    <t>1、水泥膏黏贴；
2、石材脚座安装（现场安装+厂家拼贴费）；</t>
  </si>
  <si>
    <t>门套内外2侧立面-正立面按个计取</t>
  </si>
  <si>
    <t>个</t>
  </si>
  <si>
    <t>不含石材脚座主材费用，具体是否使用瓷砖胶以工程部书面要求为准，主材按石材规格板展开面积计取（需增加相应切割加工费）</t>
  </si>
  <si>
    <t>第三章、天棚工程</t>
  </si>
  <si>
    <t>3-1</t>
  </si>
  <si>
    <t>轻钢龙骨石膏板平面天花          (不含乳胶漆)间距300*600</t>
  </si>
  <si>
    <t>1、卡式主骨/U型50系列轻钢龙骨、50付骨
2、龙牌/可耐福/拉法基牌纸面12厘石膏板1220*2440</t>
  </si>
  <si>
    <t>按实做面层面积计算</t>
  </si>
  <si>
    <t>1、吊件加工、安装、定位、弹线、选料、下料、定位杆控制高度、平整、安装龙骨及吊配附件、孔洞预留等；2、临时加固、调整、校正；3、灯箱风口封边、龙骨设置；4、预留位置、整体调整，安装天棚面层石膏板</t>
  </si>
  <si>
    <t>1、防水石膏板主材费用增加10元：
2、如为双层普通石膏板（主材费+人工费）增加20 元/m2</t>
  </si>
  <si>
    <t>3-1a</t>
  </si>
  <si>
    <t>轻钢龙骨防水石膏板平面天花 (不含乳胶漆)间距300*600</t>
  </si>
  <si>
    <t>1、卡式主骨/U型50系列轻钢龙骨、50付骨
2、龙牌/可耐福/拉法基牌纸面12厘防水石膏板1220*2440</t>
  </si>
  <si>
    <t>3-1b</t>
  </si>
  <si>
    <t>轻钢龙骨双层石膏板平面天花 (不含乳胶漆)间距300*600</t>
  </si>
  <si>
    <t>1、卡式主骨/U型50系列轻钢龙骨、50付骨
2、龙牌/可耐福/拉法基牌纸面12厘石膏板1220*2440（双层）</t>
  </si>
  <si>
    <t>3-2</t>
  </si>
  <si>
    <t>轻钢龙骨石膏板跌级天花          (不含乳胶漆)300*600（跌级部分9厘夹板底，9厘石膏板面）</t>
  </si>
  <si>
    <t>1、卡式主骨/U型50系列轻钢龙骨、50付骨
2、龙牌/可耐福/拉法基牌纸面12厘石膏板1220*2440
3、跌级辅助夹板</t>
  </si>
  <si>
    <t>按展开面积计算，或展开后折合投影面积计价，穹形或其它特殊造型的，可另行议价</t>
  </si>
  <si>
    <t>3-3</t>
  </si>
  <si>
    <t>轻钢龙骨矿棉板吊顶</t>
  </si>
  <si>
    <t>8厘拉杆、600mm*600mm</t>
  </si>
  <si>
    <t>1、吊件加工、安装、定位、弹线、选料、下料、定位杆控制高度、平整、安装龙骨及吊配附件、孔洞预留等；2、安装封边龙骨；3、调整、校正；4、安装天棚面层600*600矿棉板</t>
  </si>
  <si>
    <t>3-4</t>
  </si>
  <si>
    <t>铝扣板吊顶</t>
  </si>
  <si>
    <t>1、8厘拉杆、卡扣明暗装龙骨
2、厚度0.8mm厚，规格不限</t>
  </si>
  <si>
    <t>1、定位、弹线、焊接、膨胀螺栓及吊筋安装、选料、下料、组装、吊装、安装龙骨及横撑临时固定支撑；2、预留空洞、安装封边龙骨；3、调整、校正；4、安装天棚面层方形或条形铝扣板</t>
  </si>
  <si>
    <t>采用1.0mm厚铝扣板相应增加主材价格</t>
  </si>
  <si>
    <t>3-5</t>
  </si>
  <si>
    <t>镜面天花连基层（轻钢龙骨12mm夹板底，清镜面层）</t>
  </si>
  <si>
    <t>1、卡式主骨/U型50系列轻钢龙骨、50付骨、12厘夹板1220*2440
2、深圳蛇口6厘清镜</t>
  </si>
  <si>
    <t>1、吊件加工、安装、定位、弹线、选料、下料、定位杆控制高度、平整、安装龙骨及吊配附件、孔洞预留等；2、临时加固、调整、校正；3、灯箱风口封边、龙骨设置；4、安装天棚基层夹板、清镜</t>
  </si>
  <si>
    <t>3-11</t>
  </si>
  <si>
    <t>150高石膏角线</t>
  </si>
  <si>
    <t>1、穗华牌石膏线安装、拼接、打磨
2、不含乳胶漆</t>
  </si>
  <si>
    <t>按延长米计</t>
  </si>
  <si>
    <t>定位、清理基层、选截材料、刷底油、磨砂纸、刷胶粘贴</t>
  </si>
  <si>
    <t>3-12</t>
  </si>
  <si>
    <t>120高石膏角线</t>
  </si>
  <si>
    <t>3-13</t>
  </si>
  <si>
    <t>100高及以下石膏角线</t>
  </si>
  <si>
    <t>3-14</t>
  </si>
  <si>
    <t>特殊石膏线模具制作费</t>
  </si>
  <si>
    <t>指非市场常用规格，须满足施工图要求，需生产供应商重新调整模具而产生的费用。</t>
  </si>
  <si>
    <t>模具制安</t>
  </si>
  <si>
    <t>项</t>
  </si>
  <si>
    <t>200-500</t>
  </si>
  <si>
    <t>3-15</t>
  </si>
  <si>
    <t>厚夹板造型灯槽</t>
  </si>
  <si>
    <t>1、L型灯槽制安：含龙骨、辅助夹板及封石膏板
2、展开宽度450mm以内
3、不含乳胶漆</t>
  </si>
  <si>
    <t>制作、安装龙骨（包括检查孔）、安装天棚基层</t>
  </si>
  <si>
    <t>3-16</t>
  </si>
  <si>
    <t>夹板窗帘盒</t>
  </si>
  <si>
    <t>定位、弹线、制作、安装、固定盖板等</t>
  </si>
  <si>
    <t>3-17</t>
  </si>
  <si>
    <t>1、L型灯槽制安：含龙骨、辅助夹板及封石膏板
2、展开宽度450mm以外
3、不含乳胶漆</t>
  </si>
  <si>
    <t>3-18</t>
  </si>
  <si>
    <t>弧形夹板窗帘盒</t>
  </si>
  <si>
    <t>3-19</t>
  </si>
  <si>
    <t>3-20</t>
  </si>
  <si>
    <t>弧形造型灯槽制作</t>
  </si>
  <si>
    <t>1、L型灯槽制安：含龙骨、辅助夹板及封石膏板
2、规格不限
3、不含乳胶漆</t>
  </si>
  <si>
    <t>3-21</t>
  </si>
  <si>
    <t xml:space="preserve">夹板底木饰面天花吊顶   （轻钢龙骨12mm夹板底，木饰面面层）               </t>
  </si>
  <si>
    <t>1、卡式主骨/U型50系列轻钢龙骨、50付骨12厘夹板1220*2440、面贴3厘饰面板、油漆
2、防腐处理、面层打磨刷清漆 ~（压皮/饰面~视工艺做法实际调整）现场制安</t>
  </si>
  <si>
    <t>1、吊件加工、安装、定位、弹线、选料、下料、定位杆控制高度、平整、安装龙骨及吊配附件、孔洞预留等；2、临时加固、调整、校正；3、灯箱风口封边、龙骨设置；4、安装天棚夹板基层、木饰面层；5、面层油清漆（清扫、磨砂纸、润油粉、刮腻子、刷底漆、面漆等）</t>
  </si>
  <si>
    <t>3-22</t>
  </si>
  <si>
    <t xml:space="preserve">夹板底木拼纹饰面天花吊顶   （轻钢龙骨12mm夹板底，木饰面面层）               </t>
  </si>
  <si>
    <t>3-23</t>
  </si>
  <si>
    <t xml:space="preserve">夹板底木饰面3mm凹坑（间距100-150）天花吊顶   （轻钢龙骨12mm夹板底，100-150木饰面面层）              </t>
  </si>
  <si>
    <t>3-24</t>
  </si>
  <si>
    <t xml:space="preserve">天花轻钢龙骨12mm夹板吊顶（作为安装其他面层基层）              </t>
  </si>
  <si>
    <t>1、卡式主骨/U型50系列轻钢龙骨、50付骨
2、12厘夹板1220*2440</t>
  </si>
  <si>
    <t>1、吊件加工、安装、定位、弹线、选料、下料、定位杆控制高度、平整、安装龙骨及吊配附件、孔洞预留等；2、临时加固、调整、校正；3、灯箱风口封边、龙骨设置；4、安装天棚基层夹板</t>
  </si>
  <si>
    <t>3-25</t>
  </si>
  <si>
    <t>天花成品木饰面安装</t>
  </si>
  <si>
    <t>1、排版弹线、免钉胶粘贴、射钉固定
2、预留孔洞等</t>
  </si>
  <si>
    <t>3-26</t>
  </si>
  <si>
    <t>350mm高以内铝百叶出风口</t>
  </si>
  <si>
    <t>对口、号眼、安装木框条、过滤网及风口校正、上螺钉、固定等。</t>
  </si>
  <si>
    <t>烤漆,购买成品</t>
  </si>
  <si>
    <t>3-27</t>
  </si>
  <si>
    <t>空调风口12mm夹板制风箱或边框加固连油黑漆（高度350mm以内）</t>
  </si>
  <si>
    <t>12厘夹板、含刷黑漆</t>
  </si>
  <si>
    <t>制作、安装、内刷黑漆</t>
  </si>
  <si>
    <t>长图按图纸空调百页长度计算</t>
  </si>
  <si>
    <t>3-28</t>
  </si>
  <si>
    <t>不锈钢天花连基层（轻钢龙骨12mm夹板底，不锈钢镜面层）</t>
  </si>
  <si>
    <t>轻钢龙骨、12厘夹板1220*2440、1.0镜面不锈钢</t>
  </si>
  <si>
    <t>1、吊件加工、安装、定位、弹线、选料、下料、定位杆控制高度、平整、安装龙骨及吊配附件、孔洞预留等；2、临时加固、调整、校正；3、灯箱风口封边、龙骨设置；4、安装天棚基层夹板、不锈钢</t>
  </si>
  <si>
    <t>3-29</t>
  </si>
  <si>
    <t>天花检修口（铝制成品检修口），含现场安装费</t>
  </si>
  <si>
    <t>1、铝制成品检修口600*600</t>
  </si>
  <si>
    <t>按个计算</t>
  </si>
  <si>
    <t>3-30</t>
  </si>
  <si>
    <t>天花轻钢龙骨埃特板吊顶</t>
  </si>
  <si>
    <t>1、轻钢龙骨间距400*600（不上人）；2、直径8mm吊筋；3、埃特板面层</t>
  </si>
  <si>
    <t>按埃特板面积计算</t>
  </si>
  <si>
    <t>3-31</t>
  </si>
  <si>
    <t>天花单向铝格栅吊顶（1.0mm）</t>
  </si>
  <si>
    <t>1、卡式主骨/U型50系列轻钢龙骨、50付骨、接头、吊杆
2、面层材料：规格100*40mm*1.0mm厚（竖向）间距110mm
3、安装固定等所有辅材</t>
  </si>
  <si>
    <t>1、基层清理
2、安装龙骨
3、基层板铺贴
4、面层铺贴
5、刷防护材料</t>
  </si>
  <si>
    <t>当铝格栅规格厚度相同、间距不同时，材料费按24元/米换算；
当铝格栅规格厚度不同时，材料费需按市场价格水平根据不同间距进行换算</t>
  </si>
  <si>
    <t>3-32</t>
  </si>
  <si>
    <t>天花单向铝格栅吊顶（0.8mm）</t>
  </si>
  <si>
    <t>1、卡式主骨/U型50系列轻钢龙骨、50付骨、接头、吊杆
2、面层材料：规格100*40mm*0.8mm厚（竖向）间距110mm
3、安装固定等所有辅材</t>
  </si>
  <si>
    <t>当铝格栅规格厚度相同、间距不同时，材料费按21元/米换算；
当铝格栅规格厚度不同时，材料费需按市场价格水平根据不同间距进行换算</t>
  </si>
  <si>
    <t>3-33</t>
  </si>
  <si>
    <t>1、卡式主骨/U型50系列轻钢龙骨、50付骨、接头、吊杆
2、面层材料：规格130*70mm*1.0mm厚（竖向）间距120mm
3、安装固定等所有辅材</t>
  </si>
  <si>
    <t>当铝格栅规格厚度相同、间距不同时，材料费按26元/米换算；
当铝格栅规格厚度不同时，材料费需按市场价格水平根据不同间距进行换算</t>
  </si>
  <si>
    <t>3-34</t>
  </si>
  <si>
    <t>1、卡式主骨/U型50系列轻钢龙骨、50付骨、接头、吊杆
2、面层材料：规格130*70mm*0.8mm厚（竖向）间距120mm
3、安装固定等所有辅材</t>
  </si>
  <si>
    <t>当铝格栅规格厚度相同、间距不同时，材料费按23元/米换算；
当铝格栅规格厚度不同时，材料费需按市场价格水平根据不同间距进行换算</t>
  </si>
  <si>
    <t xml:space="preserve">第四章、墙柱面工程 </t>
  </si>
  <si>
    <t>一</t>
  </si>
  <si>
    <t>木制作部分(现场制作、安装）</t>
  </si>
  <si>
    <t>4-1</t>
  </si>
  <si>
    <t>实木收口木饰面地脚线</t>
  </si>
  <si>
    <t>1、100mm高内
2、底层防潮，九厘板基层贴饰面板实木压条打磨刷清漆</t>
  </si>
  <si>
    <t>清理基层、铺防潮层，安装九厘板基层贴饰面板实木压条、清扫净面</t>
  </si>
  <si>
    <t>4-2</t>
  </si>
  <si>
    <t>1、100mm高内
2、底层防潮，九厘板基层打底；
3、安装甲供实木脚线</t>
  </si>
  <si>
    <t>实木脚线甲供</t>
  </si>
  <si>
    <t>4-3</t>
  </si>
  <si>
    <t>不锈钢饰面地脚线</t>
  </si>
  <si>
    <t>1、100mm高内
2、底层防潮，九厘板基层不锈钢板为1.0MM厚</t>
  </si>
  <si>
    <t>定位、弹线、底层防潮，九厘板基层、粘贴面层</t>
  </si>
  <si>
    <t>包含造型折边</t>
  </si>
  <si>
    <t>4-4</t>
  </si>
  <si>
    <t>塑胶地脚线安装</t>
  </si>
  <si>
    <t>100mm高内</t>
  </si>
  <si>
    <t>制作及预埋木楔，安装踢脚线</t>
  </si>
  <si>
    <t>主材甲供</t>
  </si>
  <si>
    <t>4-5</t>
  </si>
  <si>
    <t>普通木饰面连木基层（含防潮层）</t>
  </si>
  <si>
    <t>底层防潮，9厘板基层贴饰面板打磨刷清漆、含油漆</t>
  </si>
  <si>
    <t>定位、弹线、底层防潮、龙骨上钉隔离层，贴封饰面板、钉木压条、封边线等</t>
  </si>
  <si>
    <t>4-6</t>
  </si>
  <si>
    <t>夹板底木拼纹木饰面连木基层（含防潮层）</t>
  </si>
  <si>
    <t>4-7</t>
  </si>
  <si>
    <t>成品木饰面安装</t>
  </si>
  <si>
    <t>4-8</t>
  </si>
  <si>
    <t>清镜饰面连木龙骨夹板基层（含防潮层）</t>
  </si>
  <si>
    <t>1、底层防潮，安装木龙骨，9厘板基层贴银镜
2、6厘清镜</t>
  </si>
  <si>
    <t>定位、弹线、龙骨上钉隔离层，安装玻璃面层、钉压条</t>
  </si>
  <si>
    <t>4-9</t>
  </si>
  <si>
    <t>卫生间清镜出墙120-150（含暗藏灯槽）</t>
  </si>
  <si>
    <t>1、底层防潮，安装木龙骨架，12厘板基层贴银镜
2、6厘清镜</t>
  </si>
  <si>
    <t>定位、弹线、龙骨上钉隔离层，贴封饰面板、钉木压条、封边线、安装面层等</t>
  </si>
  <si>
    <t>4-10</t>
  </si>
  <si>
    <t>墙面玻璃胶安装清镜</t>
  </si>
  <si>
    <t>1、6厘清镜安装
2、不含基层</t>
  </si>
  <si>
    <t>安装玻璃面层、钉压条</t>
  </si>
  <si>
    <t>4-11</t>
  </si>
  <si>
    <t>墙面安装6厘灰镜（含木基层）（含防潮层）</t>
  </si>
  <si>
    <t>1、底层防潮，安装木龙骨，9厘板基层贴银镜
2、6厘灰镜</t>
  </si>
  <si>
    <t>4-12</t>
  </si>
  <si>
    <t>夹板基层0.8厚304＃不锈钢饰面（含防潮层）</t>
  </si>
  <si>
    <t>1、底层防潮，9厘板基层
2、贴304不锈钢板0.8mm厚
3、需刨坑折90度角的费用另计</t>
  </si>
  <si>
    <t>定位、弹线、钉隔离层、清理基层、打胶、粘贴面层、清理净面等</t>
  </si>
  <si>
    <t>4-13</t>
  </si>
  <si>
    <t>夹板基层1.0厚304＃不锈钢饰面（含防潮层）</t>
  </si>
  <si>
    <t>1、底层防潮，9厘板基层
2、贴304不锈钢板1.0mm厚
3、需刨坑折90度角的费用另计</t>
  </si>
  <si>
    <t>4-14</t>
  </si>
  <si>
    <t>夹板基层1.2厚304＃不锈钢饰面（含防潮层）</t>
  </si>
  <si>
    <t>1、底层防潮，9厘板基层
2、贴304不锈钢板1.2mm厚
3、需刨坑折90度角的费用另计</t>
  </si>
  <si>
    <t>4-15</t>
  </si>
  <si>
    <t>夹板基层1.0厚黑色304＃不锈钢饰面（含防潮层）</t>
  </si>
  <si>
    <t>1、底层防潮，9厘板基层
2、贴304黑色不锈钢板1.0mm厚
3、需刨坑折90度角的费用另计</t>
  </si>
  <si>
    <t>4-16</t>
  </si>
  <si>
    <t>夹板基层1.2厚黑色304＃不锈钢饰面（含防潮层）</t>
  </si>
  <si>
    <t>1、底层防潮，9厘板基层
2、贴304黑色不锈钢板1.2mm厚
3、需刨坑折90度角的费用另计</t>
  </si>
  <si>
    <t>4-17</t>
  </si>
  <si>
    <t>钢化玻璃隔断（门或窗等）</t>
  </si>
  <si>
    <t>1、12mm厚钢化玻璃
2、此处只考虑玻璃及磨边,木制作另行计价</t>
  </si>
  <si>
    <t>定位弹线、下料、安装玻璃、嵌缝、清理等</t>
  </si>
  <si>
    <t>4-18</t>
  </si>
  <si>
    <t>不锈钢刨坑折90度角</t>
  </si>
  <si>
    <t>1、90度角
2、如果只做弯折不包坑不计此项费用</t>
  </si>
  <si>
    <t>定位弹线、刨坑、清理</t>
  </si>
  <si>
    <t>4-19</t>
  </si>
  <si>
    <t>轻钢龙骨12mm石膏板单面封墙（龙骨间距不大于300*600）</t>
  </si>
  <si>
    <t>1、轻钢龙骨为U100
2、单面2440*1220*12mm厚龙牌/可耐福/拉法基石膏板</t>
  </si>
  <si>
    <t>定位，弹线，安装骨架，刷防腐油，铺钉面板</t>
  </si>
  <si>
    <t>4-20</t>
  </si>
  <si>
    <t>单层轻钢龙骨双面12mm石膏板间120mm墙（龙骨间距不大于300*600）</t>
  </si>
  <si>
    <t>1、轻钢龙骨为U100
2、双面2440*1220*12mm厚龙牌/可耐福/拉法基石膏板</t>
  </si>
  <si>
    <t>石棉隔音每平方加25元</t>
  </si>
  <si>
    <t>4-20a</t>
  </si>
  <si>
    <t>单层轻钢龙骨双面12mm石膏板间120mm墙（龙骨间距不大于300*600）含隔音棉</t>
  </si>
  <si>
    <t>1、轻钢龙骨为U100
2、双面2440*1220*12mm厚龙牌/可耐福/拉法基石膏板                                            3、石棉隔音</t>
  </si>
  <si>
    <t>4-21</t>
  </si>
  <si>
    <t>墙面木龙骨封9mm夹板</t>
  </si>
  <si>
    <t>1、木龙骨
2、单面9厘夹板
3、含刷防火漆及防腐处理</t>
  </si>
  <si>
    <t>定位、下料、打眼剔洞、埋木砖、安装龙骨、刷防腐油，贴封夹板层</t>
  </si>
  <si>
    <t>批量封板（90元/㎡），采用12厘夹板综合单价加10元/㎡</t>
  </si>
  <si>
    <t>批量封板综合单价（87元/㎡），采用12厘夹板综合单价加10元/㎡</t>
  </si>
  <si>
    <t>4-21a</t>
  </si>
  <si>
    <t>墙面木龙骨封12mm夹板</t>
  </si>
  <si>
    <t>4-21b</t>
  </si>
  <si>
    <t>墙面木龙骨封9mm夹板（批量）</t>
  </si>
  <si>
    <t>4-21c</t>
  </si>
  <si>
    <t>墙面木龙骨封12mm夹板（批量）</t>
  </si>
  <si>
    <t>4-22</t>
  </si>
  <si>
    <t>木龙骨双面封12mm夹板间墙</t>
  </si>
  <si>
    <t>1、木龙骨
2、双面12厘夹板
3、含刷防火漆及防腐处理</t>
  </si>
  <si>
    <t>4-23</t>
  </si>
  <si>
    <t>墙面扪布、皮制安 硬扪</t>
  </si>
  <si>
    <t>1、9厘夹板基层含龙骨
2、12厘阻燃夹板
3、现场扪布制作，扪布、皮甲供
4、安装到位，
5、含找平夹板基层</t>
  </si>
  <si>
    <t>衬板开料加工，扪布、皮制作，弹线、试安装软包夹板模等</t>
  </si>
  <si>
    <t>1、扪布、皮甲供
2、如供应商合同价中已包含扪布制作与安装（及相关辅材时），需扣除相应费用。</t>
  </si>
  <si>
    <t>4-24</t>
  </si>
  <si>
    <t>墙面扪布、皮制安 软扪</t>
  </si>
  <si>
    <t>1、9厘夹板基层含龙骨
2、9厘夹板衬板、边框制作
3、现场扪布制作，含海棉，扪布、皮甲供
4、安装到位，
5、含找平夹板基层</t>
  </si>
  <si>
    <t>4-25</t>
  </si>
  <si>
    <t>墙面轻钢龙骨基层封12mm夹板</t>
  </si>
  <si>
    <t>1、U10轻钢龙骨基层
2、12厘夹板
3、含刷防火漆及防腐处理</t>
  </si>
  <si>
    <t>1、轻钢龙骨，12mm夹板基层；2、挂成品木饰面</t>
  </si>
  <si>
    <t>4-26</t>
  </si>
  <si>
    <t>工厂定制木饰面柜体安装，现场组装，含柜内五金件安装人工费（成品衣柜、酒柜、电视柜、鞋柜、装饰柜等）</t>
  </si>
  <si>
    <t>成品安装</t>
  </si>
  <si>
    <t>按实做投影面积计算</t>
  </si>
  <si>
    <t>4-27</t>
  </si>
  <si>
    <t>夹板飘线（50×50㎜以内）</t>
  </si>
  <si>
    <t>50×50㎜以内</t>
  </si>
  <si>
    <t>定位，弹线，安装骨架，刷防腐油，钉夹板飘线</t>
  </si>
  <si>
    <t>4-28</t>
  </si>
  <si>
    <t>实木装饰造型线综合单价计算方法（参考）</t>
  </si>
  <si>
    <t>1、实木线加工定做</t>
  </si>
  <si>
    <t>定位、清理基层、选截材料、射钉固定、擦净表面</t>
  </si>
  <si>
    <t>[木材立方单价（含加工费）×（宽+5mm）×（厚+5mm）×1.1（制作安装损耗）+安装人工费+油漆费用]×1.25×1.033（特殊线条刀具费另计）</t>
  </si>
  <si>
    <t>以上木线应以线形定价，如特殊可适当计取刀具费</t>
  </si>
  <si>
    <t>4-29</t>
  </si>
  <si>
    <t>不锈钢线条安装人工（含辅材）</t>
  </si>
  <si>
    <t>展开宽50mm-300mm宽</t>
  </si>
  <si>
    <t>①展开50mm宽以下线条安装人工及辅材综合单价按15元/米计算，90度弯折刨坑边单独另计；
②展开50mm（含50mm宽）-150mm宽（含150mm宽）线条安装人工及辅材综合单价按17元/米计算，90度弯折刨坑边单独另计；
③展开150mm以上-200mm宽（含200mm宽）以内的线条安装人工及辅材综合单价按20元/米计算，90度弯折刨坑边单独另计；
④200mm宽~300mm宽（含300mm宽）以内的线条安装人工及辅材综合单价按22元/米计算，90度弯折刨坑边单独另计；
⑤300mm以外的线条安装人工及辅材按大面不锈钢饰面对应清单子目中安装人工及辅材单价换算，折边另计。</t>
  </si>
  <si>
    <t>1、安装人工费（含辅材）为全国通用综合单价
2、主材按不锈钢装饰大面子目中主材费*线条展开宽度*管理费、利润1.2进行换算</t>
  </si>
  <si>
    <t>4-29a</t>
  </si>
  <si>
    <t>展开50mm宽以下</t>
  </si>
  <si>
    <t>4-29b</t>
  </si>
  <si>
    <t>开50mm（含50mm宽）-150mm宽（含150mm宽）</t>
  </si>
  <si>
    <t>4-29c</t>
  </si>
  <si>
    <t>150-200mm宽以内（含200mm宽）</t>
  </si>
  <si>
    <t>4-29d</t>
  </si>
  <si>
    <t>200mm宽~300mm宽以内（含300mm宽）</t>
  </si>
  <si>
    <t>4-29e</t>
  </si>
  <si>
    <t>300mm以外</t>
  </si>
  <si>
    <t>⑤300mm以外的线条安装人工及辅材按大面不锈钢饰面对应清单子目中安装人工及辅材单价换算，折边另计。</t>
  </si>
  <si>
    <t>二</t>
  </si>
  <si>
    <t>泥水部分</t>
  </si>
  <si>
    <t>4-30</t>
  </si>
  <si>
    <t>石材线条安装人工（含辅材）</t>
  </si>
  <si>
    <t>80mm-120mm宽</t>
  </si>
  <si>
    <t>定位、清理基层、选截材料、拌制水泥膏、粘贴固定、清洁表面</t>
  </si>
  <si>
    <r>
      <rPr>
        <sz val="10"/>
        <rFont val="微软雅黑"/>
        <charset val="134"/>
      </rPr>
      <t>①80mm宽以下线条按23</t>
    </r>
    <r>
      <rPr>
        <b/>
        <sz val="10"/>
        <rFont val="微软雅黑"/>
        <charset val="134"/>
      </rPr>
      <t>元/米</t>
    </r>
    <r>
      <rPr>
        <sz val="10"/>
        <rFont val="微软雅黑"/>
        <charset val="134"/>
      </rPr>
      <t>（综合单价）。
②80mm（含80mm宽）-150mm宽（含150mm宽）线条按2</t>
    </r>
    <r>
      <rPr>
        <b/>
        <sz val="10"/>
        <rFont val="微软雅黑"/>
        <charset val="134"/>
      </rPr>
      <t>8元/米</t>
    </r>
    <r>
      <rPr>
        <sz val="10"/>
        <rFont val="微软雅黑"/>
        <charset val="134"/>
      </rPr>
      <t>（综合单价）计算。
③超出150mm宽的石材线条安装人工及辅材按楼地面或墙柱面平面安装人工及辅材单价换算。</t>
    </r>
  </si>
  <si>
    <t>4-30a</t>
  </si>
  <si>
    <t>80mm宽以下</t>
  </si>
  <si>
    <t>4-30b</t>
  </si>
  <si>
    <t>80mm（含80mm宽）-150mm宽（含150mm宽）线条</t>
  </si>
  <si>
    <t>4-30c</t>
  </si>
  <si>
    <t>超出150mm宽的石材线条</t>
  </si>
  <si>
    <t>超出150mm宽的石材线条安装人工及辅材按楼地面或墙柱面平面安装人工及辅材单价换算。</t>
  </si>
  <si>
    <t>4-31</t>
  </si>
  <si>
    <t>墙身湿贴瓷砖（块料周长3200内）</t>
  </si>
  <si>
    <t xml:space="preserve">1、单块砖＜800×800mm
2、8mm水泥膏粘贴,不含水泥砂浆找平层。  </t>
  </si>
  <si>
    <t>如采用甲供粘结剂铺贴，辅料扣除水泥膏费用9元及相应取费</t>
  </si>
  <si>
    <t>（对乙）如采用甲供粘结剂铺贴，辅料扣除水泥膏费用6.27元及相应取费</t>
  </si>
  <si>
    <t>4-32</t>
  </si>
  <si>
    <t>墙身湿贴瓷砖（块料周长3200外）</t>
  </si>
  <si>
    <t>1、单块砖≥800×800mm  
2、8mm水泥膏粘贴,不含水泥砂浆找平层。</t>
  </si>
  <si>
    <t>4-33</t>
  </si>
  <si>
    <t>墙身采用铜丝做法增加费</t>
  </si>
  <si>
    <t>开槽、绑铜丝、打钉、固定</t>
  </si>
  <si>
    <t>4-34</t>
  </si>
  <si>
    <t>块料瓷砖图案或工字铺或特殊铺贴</t>
  </si>
  <si>
    <t>4-35</t>
  </si>
  <si>
    <t>墙身纸皮马赛克铺贴 不拼花</t>
  </si>
  <si>
    <t>1、不分规格
2、8mm水泥膏粘贴，不含水泥砂浆找平层。</t>
  </si>
  <si>
    <t>选料、抹结合层、粘贴、擦缝、清洁表面</t>
  </si>
  <si>
    <t>4-36</t>
  </si>
  <si>
    <t>墙面水泥砂浆湿贴石材</t>
  </si>
  <si>
    <t>1、规格板
2、10mm厚水泥膏粘贴，不含水泥砂浆找平层。</t>
  </si>
  <si>
    <t>1、清理基层、刷水泥浆、抹结合层、刷粘结剂、镶贴块料、砂浆勾缝。
2、磨光、擦缝、打蜡、养护。</t>
  </si>
  <si>
    <t>（对乙）如采用甲供粘结剂铺贴，辅料扣除水泥膏费用6.48元及相应取费</t>
  </si>
  <si>
    <t>4-37</t>
  </si>
  <si>
    <t>墙面水泥砂浆挂贴石材</t>
  </si>
  <si>
    <t>1、规格板 
2、灌浆20mm厚1：2.5水泥砂浆,不含水泥砂浆找平层。采用挂铜丝做法</t>
  </si>
  <si>
    <t>1、清理修补基层、刷浆2、选料、钻孔成槽、镶贴面层、穿丝固定。3、调制砂浆、灌砂浆、磨光、擦缝、打蜡、养护。</t>
  </si>
  <si>
    <t>4-38</t>
  </si>
  <si>
    <t>墙面石材干挂人工、辅材费</t>
  </si>
  <si>
    <t>1、规格板
2、不含干挂件、不含石材费用，含石材开孔槽费用</t>
  </si>
  <si>
    <t>4-39</t>
  </si>
  <si>
    <t>墙面干挂钢结构制作、安装人工费、辅材费</t>
  </si>
  <si>
    <t>1、钢材安装人工费，不含钢材、干挂件材料费。</t>
  </si>
  <si>
    <t>铁件加工、焊接钢架、刷防锈漆等</t>
  </si>
  <si>
    <t>钢材，干挂件材料费根据施工图纸另计。（如钢架按吨计算，人工费+辅材费按4500元/吨综合单价换算）</t>
  </si>
  <si>
    <r>
      <rPr>
        <sz val="10"/>
        <rFont val="宋体"/>
        <charset val="134"/>
      </rPr>
      <t>钢材，干挂件材料费根据施工图纸另计。（如钢架按吨计算，人工费+辅材费按4000元/吨综合单价换算）；</t>
    </r>
    <r>
      <rPr>
        <sz val="10"/>
        <color indexed="10"/>
        <rFont val="宋体"/>
        <charset val="134"/>
      </rPr>
      <t>报价中暂估钢材费用50元/平方</t>
    </r>
  </si>
  <si>
    <t>4-40</t>
  </si>
  <si>
    <t>砌内墙灰砂砖</t>
  </si>
  <si>
    <t>1、120mm厚
2、M5.0水泥砂M5.0红砖/灰砂砖（</t>
  </si>
  <si>
    <t>砖墙:运料、淋砖、调铺砂浆、砌砖、安放垫块、木砖、铁件等,砖旋、砖过梁、砖拱包括制作、安装及拆除模板</t>
  </si>
  <si>
    <t>4-41</t>
  </si>
  <si>
    <t>1、180mm厚
2、M5.0水泥砂M5.0红砖/灰砂砖</t>
  </si>
  <si>
    <t>4-42</t>
  </si>
  <si>
    <t>墙面水泥砂浆找平</t>
  </si>
  <si>
    <t>厚度:含30mm内</t>
  </si>
  <si>
    <t>调制砂浆、抹灰、找平、刷水泥浆</t>
  </si>
  <si>
    <t>4-43</t>
  </si>
  <si>
    <t>4-44</t>
  </si>
  <si>
    <t>墙身瓷砖/石材脚线嵌入式安装开槽150高以内，超出按比例折算</t>
  </si>
  <si>
    <t>厚度:根据面层材料而定</t>
  </si>
  <si>
    <t>切割、打凿、清理</t>
  </si>
  <si>
    <t xml:space="preserve">第五章、五金类安装工程 </t>
  </si>
  <si>
    <t>五金类玻璃门类五金</t>
  </si>
  <si>
    <t>5-1</t>
  </si>
  <si>
    <t>地弹簧</t>
  </si>
  <si>
    <t>BTS65（轻型）最大承重100KG</t>
  </si>
  <si>
    <t>多玛牌多玛牌及其他同等牌子（含安装费）</t>
  </si>
  <si>
    <t>5-2</t>
  </si>
  <si>
    <t>地弹簧（配不锈钢色盖板）</t>
  </si>
  <si>
    <t>BTS1900（轻型）最大承重110KG</t>
  </si>
  <si>
    <t>海福乐品牌（含安装费）</t>
  </si>
  <si>
    <t>5-3</t>
  </si>
  <si>
    <t>HD-302A（轻型）最大承重110KG</t>
  </si>
  <si>
    <t>皇鼎品牌（含安装费）</t>
  </si>
  <si>
    <t>5-4</t>
  </si>
  <si>
    <t>HD-305A（重型）最大承重300KG</t>
  </si>
  <si>
    <t>5-5</t>
  </si>
  <si>
    <t>力级可调地弹簧</t>
  </si>
  <si>
    <t>BTS75V（中型）最大承重100KG</t>
  </si>
  <si>
    <t>5-6</t>
  </si>
  <si>
    <t>液压定位多功能地弹簧</t>
  </si>
  <si>
    <t>BTS80（重型）最大承重300KG</t>
  </si>
  <si>
    <t>5-7</t>
  </si>
  <si>
    <t>地锁（锁夹）12MM</t>
  </si>
  <si>
    <t>us10</t>
  </si>
  <si>
    <t>多玛牌多玛牌及其他同等牌子</t>
  </si>
  <si>
    <t>5-8</t>
  </si>
  <si>
    <t>地锁（锁夹）15MM</t>
  </si>
  <si>
    <t>5-9</t>
  </si>
  <si>
    <t>地锁（锁夹）19MM</t>
  </si>
  <si>
    <t>5-10</t>
  </si>
  <si>
    <t>不锈钢拉手φ38*800MM</t>
  </si>
  <si>
    <t>TG-9457</t>
  </si>
  <si>
    <t>付</t>
  </si>
  <si>
    <t>5-11</t>
  </si>
  <si>
    <t>不锈钢大拉手φ38*1200mm</t>
  </si>
  <si>
    <t>903.01.981</t>
  </si>
  <si>
    <t>海福乐</t>
  </si>
  <si>
    <t>5-12</t>
  </si>
  <si>
    <t>闭门器</t>
  </si>
  <si>
    <t>Ts68</t>
  </si>
  <si>
    <t>5-13</t>
  </si>
  <si>
    <t>304#不锈钢上下夹（短夹）</t>
  </si>
  <si>
    <t>规格、型号不同时单价另做调整</t>
  </si>
  <si>
    <t>5-14</t>
  </si>
  <si>
    <t>IR 02 932.72.024
IR 02 932.72.034</t>
  </si>
  <si>
    <t>海福乐品牌</t>
  </si>
  <si>
    <t>5-15</t>
  </si>
  <si>
    <t>HD-010-SS
HD-020-SS</t>
  </si>
  <si>
    <t>5-16</t>
  </si>
  <si>
    <t>304#不锈钢上下夹（长夹）-同门扇宽（800-900长）</t>
  </si>
  <si>
    <t>5-17</t>
  </si>
  <si>
    <t>IR 03 932.72.064</t>
  </si>
  <si>
    <t>5-18</t>
  </si>
  <si>
    <t>304#普通不锈钢拉手</t>
  </si>
  <si>
    <t>φ38*800</t>
  </si>
  <si>
    <t>180～255</t>
  </si>
  <si>
    <t>5-19</t>
  </si>
  <si>
    <t>直角方管不锈钢大拉手</t>
  </si>
  <si>
    <t>φ38*25  L=1200mm</t>
  </si>
  <si>
    <t>5-20</t>
  </si>
  <si>
    <t>不锈钢拉手</t>
  </si>
  <si>
    <t>AG102-φ38*1200-SS</t>
  </si>
  <si>
    <t>皇鼎品牌</t>
  </si>
  <si>
    <t>5-21</t>
  </si>
  <si>
    <t>玻璃门进口锁夹及安装</t>
  </si>
  <si>
    <t>只</t>
  </si>
  <si>
    <t>5-22</t>
  </si>
  <si>
    <t>走火通道门闭门器（浙江利益）</t>
  </si>
  <si>
    <t>65kg</t>
  </si>
  <si>
    <t>套</t>
  </si>
  <si>
    <t>品牌、规格、型号不同时单价另做调整</t>
  </si>
  <si>
    <t>卫生间洁具及小五金安装类</t>
  </si>
  <si>
    <t>5-23</t>
  </si>
  <si>
    <t>淋浴间安装直径22mm不锈钢管挂帘杆壁厚1.2mm厚</t>
  </si>
  <si>
    <t>根</t>
  </si>
  <si>
    <t>1.8m/根</t>
  </si>
  <si>
    <t>5-24</t>
  </si>
  <si>
    <t>洗手间配饰安装(主材甲供)</t>
  </si>
  <si>
    <t>厕纸盒、毛巾杆（环）、浴巾架等</t>
  </si>
  <si>
    <t>按每项计</t>
  </si>
  <si>
    <t>5-25</t>
  </si>
  <si>
    <t>卫生间洗手台钢架制作（不小于40角钢制作）</t>
  </si>
  <si>
    <t>含刷防锈漆</t>
  </si>
  <si>
    <t>5-26</t>
  </si>
  <si>
    <t>甲供银镜安装（重叠镜）</t>
  </si>
  <si>
    <t>5-27</t>
  </si>
  <si>
    <t>10#钢化玻璃，304#不锈钢联墙材、合页、墙夹、拉杆、不锈钢拉手</t>
  </si>
  <si>
    <t>平开门</t>
  </si>
  <si>
    <t>各户型卫生间</t>
  </si>
  <si>
    <t>5-28</t>
  </si>
  <si>
    <t>10mm钢化玻璃，304#不锈钢合页、墙夹，拉杆、不锈钢拉手</t>
  </si>
  <si>
    <t>5-29</t>
  </si>
  <si>
    <t>10mm钢化玻璃，铜镀铬合页、固定夹、，不锈钢拉手、拉杆</t>
  </si>
  <si>
    <t>5-30</t>
  </si>
  <si>
    <t>10#钢化玻璃，304#不锈钢合夹、墙夹，不锈钢拉手</t>
  </si>
  <si>
    <t>插顶</t>
  </si>
  <si>
    <t>5-31</t>
  </si>
  <si>
    <t>8#钢化玻璃，304#不锈钢合页、墙夹、不锈钢拉手</t>
  </si>
  <si>
    <t>单门</t>
  </si>
  <si>
    <t>用于保姆房卫生间</t>
  </si>
  <si>
    <t>5-32</t>
  </si>
  <si>
    <t>8#钢化玻璃，铝材活动门轴，铝材边框、拉杆</t>
  </si>
  <si>
    <t>转轴</t>
  </si>
  <si>
    <t>5-33</t>
  </si>
  <si>
    <t>8mm钢化玻璃，趟门，铝材杆件、拉手</t>
  </si>
  <si>
    <t>趟门</t>
  </si>
  <si>
    <t>一字型户型（此种款式比较少用，目前在桂南有用过）</t>
  </si>
  <si>
    <t xml:space="preserve">第六章、 油漆、涂料、裱糊工程 </t>
  </si>
  <si>
    <t>6-1</t>
  </si>
  <si>
    <t>墙面、天花乳胶漆</t>
  </si>
  <si>
    <t>1、刮甲供成品腻子两遍以上,干燥打磨
2、刷甲供乳胶漆，一底两面
3、PVC阴阳角线</t>
  </si>
  <si>
    <t>按相应面层面积计算</t>
  </si>
  <si>
    <t>清扫、配浆、刮腻子、磨砂纸、刷乳胶漆等</t>
  </si>
  <si>
    <t>适用示范单位,样板层,售楼部,高等级会所,酒店，目标成本≥2500元/m2的别墅、洋房批量项目</t>
  </si>
  <si>
    <t>6-2</t>
  </si>
  <si>
    <t>适用目标成本&lt;2500元/m2的别墅、洋房批量项目批量装修,办公\公建用房等</t>
  </si>
  <si>
    <t>6-3</t>
  </si>
  <si>
    <t>墙面、天花肌理漆</t>
  </si>
  <si>
    <t>1、刮甲供成品腻子两遍以上,干燥打磨
2、涂刷甲供封闭底漆
3、涂刷甲供肌理漆
4、采用专用工具批刮表面效果（仿布纹质感、浮雕喷点压花、浮雕喷圆点、玛雅效果质感、条形纹质感）</t>
  </si>
  <si>
    <t>清理工作面、清扫、配浆、刮腻子、涂刷底油、磨砂纸、刷肌理漆、涂刷罩光漆、批刮表面效果等</t>
  </si>
  <si>
    <t>6-4</t>
  </si>
  <si>
    <t>1、刮甲供成品腻子两遍以上,干燥打磨
2、涂刷甲供封闭底漆
3、涂刷甲供肌理漆
4、采用专用工具批刮表面效果（扇形纹质感、圆纹质感、树皮纹质感）</t>
  </si>
  <si>
    <t>6-5</t>
  </si>
  <si>
    <t>墙面、天花双飞粉油二遍</t>
  </si>
  <si>
    <t>1、第一遍白水泥30%、双飞粉50%、增石粉20%、全硅胶胶水
2、第二遍白水泥15%、双飞粉50%、增石粉35%、全硅胶胶水</t>
  </si>
  <si>
    <t>清扫、配浆、刮腻子、磨砂纸、补小洞、刮双灰粉腻子二遍等</t>
  </si>
  <si>
    <t>6-6</t>
  </si>
  <si>
    <t xml:space="preserve">抹灰贴墙纸
</t>
  </si>
  <si>
    <t>1、刮甲供成品腻子两遍以上,干燥打磨
2、刷墙纸胶或光油，贴墙纸，墙纸甲供</t>
  </si>
  <si>
    <t>1、清扫、配浆、刮腻子、磨砂纸、补小洞；2、刷底油、配制贴面材料、裱糊刷胶、裁墙纸、贴装饰面等</t>
  </si>
  <si>
    <t>甲供成品腻子两遍</t>
  </si>
  <si>
    <t>6-7</t>
  </si>
  <si>
    <t xml:space="preserve">抹灰贴墙布
</t>
  </si>
  <si>
    <t>1、刮甲供成品腻子两遍以上,干燥打磨
2、刷墙纸胶或光油，贴墙布，墙布甲供</t>
  </si>
  <si>
    <t>6-8</t>
  </si>
  <si>
    <t>墙面天花喷涂黑色乳胶漆</t>
  </si>
  <si>
    <t>1、调制涂料
2、喷涂黑色涂料</t>
  </si>
  <si>
    <t>清扫、清铲、调制、、喷涂、制作面涂等</t>
  </si>
  <si>
    <t>梁柱位置按展开面积计算</t>
  </si>
  <si>
    <t>6-9</t>
  </si>
  <si>
    <t>木饰面油漆（墙面、柜面、家私面饰）</t>
  </si>
  <si>
    <t>1、刮腻子打磨刷底漆打磨，8-12遍面漆
2、现场制作喷漆</t>
  </si>
  <si>
    <t>清扫、磨砂纸、润油粉、刮腻子、刷底漆、面漆等</t>
  </si>
  <si>
    <t>6-10</t>
  </si>
  <si>
    <t>木饰面油漆翻新</t>
  </si>
  <si>
    <t>1、刮腻子打磨刷底漆打磨，油面漆5遍以内
2、现场制作喷漆
3、局部维修.零星</t>
  </si>
  <si>
    <t>清扫、磨砂纸、润油粉、刮腻子、面漆等</t>
  </si>
  <si>
    <t>适用于局部翻新</t>
  </si>
  <si>
    <t>6-11</t>
  </si>
  <si>
    <t>乳胶漆翻新</t>
  </si>
  <si>
    <t>1、含局部补腻子，天花裂缝处理，油乳胶漆2遍以内
2、公司指定品牌，材料乙供</t>
  </si>
  <si>
    <t>6-12</t>
  </si>
  <si>
    <t>普通乳胶漆（翻新 油漆1遍）</t>
  </si>
  <si>
    <t>1、清扫、配浆、刮腻子、磨砂纸、刷乳胶漆1遍
2、不含铲除费用
3、公司指定品牌，材料乙供</t>
  </si>
  <si>
    <t>6-13</t>
  </si>
  <si>
    <t>普通乳胶漆（翻新油漆 2遍）</t>
  </si>
  <si>
    <t>1、清扫、配浆、刮腻子、磨砂纸、刷乳胶漆2遍
2、不含铲除费用
3、公司指定品牌，材料乙供</t>
  </si>
  <si>
    <t>6-14</t>
  </si>
  <si>
    <t>50mm宽以内木线条油清漆（有造型的）</t>
  </si>
  <si>
    <t>1、清扫、磨砂纸、润油粉、刮腻子、刷底漆、面漆等
2、油漆为油性漆</t>
  </si>
  <si>
    <t>6-15</t>
  </si>
  <si>
    <t>50～100mm宽以内木线条油清漆（有造型的）</t>
  </si>
  <si>
    <t>6-16</t>
  </si>
  <si>
    <t>仿估金/银箔工程</t>
  </si>
  <si>
    <t>1、刮甲供成品腻子两遍以上,干燥打磨
2、刷专用底漆封底，打磨，照面漆、贴金箔、保护层</t>
  </si>
  <si>
    <t>1、在干燥、平滑、牢固的的基层上进行专用底漆封底，以达到防潮效果。
2、在底涂封闭后进行底漆喷涂（两遍）干燥后砂纸磨平。封一遍照面仿古漆或清漆，防止仿古金箔或金箔受潮返底。
3、待基层底涂完成后开始刷涂仿古金箔或金箔专用胶水，达到均匀，易吸收。
4、待仿古金箔或金箔胶水干固后开始贴仿古金箔或金箔。
5、仿古金箔或金箔整体贴面完成后，开始进行肌理造型处理完成饰面效果。
6、在处理后的仿古金箔或金箔界面上，喷洒一遍保护面层，然后进行必要的面层处理达到光滑、平整的效果。
7、喷涂保护层，仿古金箔或金箔施工结束。</t>
  </si>
  <si>
    <t>线条面按展开面积计算工程量计价
星河湾按展开面积算，280元/m2；
非星河湾按投影面积算，300元/m2；</t>
  </si>
  <si>
    <t>第七章、装修类安装工程</t>
  </si>
  <si>
    <t>样板房装修安装工程</t>
  </si>
  <si>
    <t>样板房装修电气安装</t>
  </si>
  <si>
    <t>吉屋交楼示范单位及单独承接标准交楼示范单位</t>
  </si>
  <si>
    <t>7-1</t>
  </si>
  <si>
    <t>标准装修强弱电（灯具甲供）（单方指标为1000元/㎡以内）</t>
  </si>
  <si>
    <t>包括照明、电脑、配电箱、电视、电话配管、穿线，插座、开关、装饰及工程灯具等安装，按套内面积计算，可根据实际情况测算调整（含乙供材料：线管、底盒等辅材，含样板房需配合的装饰灯具安装）</t>
  </si>
  <si>
    <t>7-2</t>
  </si>
  <si>
    <t>豪华装修强弱电（灯具甲供）（含甲供材单方指标为1000-2000元/㎡以内）</t>
  </si>
  <si>
    <t>7-3</t>
  </si>
  <si>
    <t>超豪华别墅/复式装修强弱电（灯具甲供）（含甲供材单方指标为2000-3000元/㎡以内）</t>
  </si>
  <si>
    <t>7-4</t>
  </si>
  <si>
    <t>锦绣户型装修强弱电（灯具甲供）（含甲供材单方指标为3000元/㎡以上）</t>
  </si>
  <si>
    <t>7-5</t>
  </si>
  <si>
    <t>配合样板房开放电梯大堂首层强弱电（灯具甲供）</t>
  </si>
  <si>
    <t>7-6</t>
  </si>
  <si>
    <t>样板房所在电梯大堂标准层强弱电（灯具甲供）</t>
  </si>
  <si>
    <t>样板房装修给排水安装</t>
  </si>
  <si>
    <t>7-7</t>
  </si>
  <si>
    <t>室内给排水安装（含甲供洁具及地漏等安装）</t>
  </si>
  <si>
    <t>仅适用于样板房工程、售楼部、会所类卫生间给排水安装需视实际平面布置情况调整</t>
  </si>
  <si>
    <t>间</t>
  </si>
  <si>
    <t>单卫生间450，2个卫生间950</t>
  </si>
  <si>
    <t>7-8</t>
  </si>
  <si>
    <t>厨房及全部阳台（含甲供管道及龙头等安装）</t>
  </si>
  <si>
    <t>（仅适用于样板房）</t>
  </si>
  <si>
    <t>面积≤2500㎡公建类装修水电</t>
  </si>
  <si>
    <t>7-9</t>
  </si>
  <si>
    <r>
      <rPr>
        <sz val="10"/>
        <rFont val="微软雅黑"/>
        <charset val="134"/>
      </rPr>
      <t>小型的售楼部、会所（面积≤2500</t>
    </r>
    <r>
      <rPr>
        <sz val="12"/>
        <rFont val="微软雅黑"/>
        <charset val="134"/>
      </rPr>
      <t>㎡</t>
    </r>
    <r>
      <rPr>
        <sz val="10"/>
        <rFont val="微软雅黑"/>
        <charset val="134"/>
      </rPr>
      <t>）、商铺、菜市场、车站、医院、学校、居委会、保安亭等单件工程。(灯具甲供）</t>
    </r>
  </si>
  <si>
    <r>
      <rPr>
        <sz val="10"/>
        <rFont val="微软雅黑"/>
        <charset val="134"/>
      </rPr>
      <t>①、装修单价指标＜1000元/</t>
    </r>
    <r>
      <rPr>
        <sz val="12"/>
        <rFont val="宋体"/>
        <charset val="134"/>
      </rPr>
      <t>㎡</t>
    </r>
  </si>
  <si>
    <t>1、包括照明、电脑、配电箱、电视、电话配管穿线，插座、开关及装饰及工程灯具等安装，按套内面积计算，可根据实际情况测算调整（含乙供材料：线管、开关、插座、底盒等主、辅材）
2、如有集中排风、排烟工程，另加16.5元/m2，综合单价不含一级配电箱。
3、装修单价指标为不含甲供材料；
4、超大型装饰灯具（超40头以上）如厂家不安装，需由施工单位配合安装，另行签证办理；</t>
  </si>
  <si>
    <t>7-10</t>
  </si>
  <si>
    <r>
      <rPr>
        <sz val="10"/>
        <rFont val="微软雅黑"/>
        <charset val="134"/>
      </rPr>
      <t>②、1000元/</t>
    </r>
    <r>
      <rPr>
        <sz val="12"/>
        <rFont val="微软雅黑"/>
        <charset val="134"/>
      </rPr>
      <t>㎡</t>
    </r>
    <r>
      <rPr>
        <sz val="10"/>
        <rFont val="微软雅黑"/>
        <charset val="134"/>
      </rPr>
      <t>≤装修单价指标＜2500元/</t>
    </r>
    <r>
      <rPr>
        <sz val="12"/>
        <rFont val="微软雅黑"/>
        <charset val="134"/>
      </rPr>
      <t>㎡</t>
    </r>
  </si>
  <si>
    <t>7-11</t>
  </si>
  <si>
    <r>
      <rPr>
        <sz val="10"/>
        <rFont val="微软雅黑"/>
        <charset val="134"/>
      </rPr>
      <t>③、2500元/</t>
    </r>
    <r>
      <rPr>
        <sz val="12"/>
        <rFont val="微软雅黑"/>
        <charset val="134"/>
      </rPr>
      <t>㎡</t>
    </r>
    <r>
      <rPr>
        <sz val="10"/>
        <rFont val="微软雅黑"/>
        <charset val="134"/>
      </rPr>
      <t>≤装修单价指标＜5000元/</t>
    </r>
    <r>
      <rPr>
        <sz val="12"/>
        <rFont val="微软雅黑"/>
        <charset val="134"/>
      </rPr>
      <t>㎡</t>
    </r>
  </si>
  <si>
    <t>7-12</t>
  </si>
  <si>
    <r>
      <rPr>
        <sz val="10"/>
        <rFont val="微软雅黑"/>
        <charset val="134"/>
      </rPr>
      <t>④、装修单价指标≥5000元/</t>
    </r>
    <r>
      <rPr>
        <sz val="12"/>
        <rFont val="微软雅黑"/>
        <charset val="134"/>
      </rPr>
      <t>㎡</t>
    </r>
  </si>
  <si>
    <t>7-13</t>
  </si>
  <si>
    <t>办公室工程（灯具甲供）</t>
  </si>
  <si>
    <t>7-14</t>
  </si>
  <si>
    <r>
      <rPr>
        <sz val="10"/>
        <rFont val="微软雅黑"/>
        <charset val="134"/>
      </rPr>
      <t>公建类售楼部、会所（＞2500</t>
    </r>
    <r>
      <rPr>
        <sz val="12"/>
        <rFont val="微软雅黑"/>
        <charset val="134"/>
      </rPr>
      <t>㎡</t>
    </r>
    <r>
      <rPr>
        <sz val="10"/>
        <rFont val="微软雅黑"/>
        <charset val="134"/>
      </rPr>
      <t>）机电工程</t>
    </r>
  </si>
  <si>
    <t>单独招标工程类,按集团安装预算专业公布为准,如不招标,参考第1项</t>
  </si>
  <si>
    <t>室内批量、公共区域批量装修等水电</t>
  </si>
  <si>
    <t>7-15</t>
  </si>
  <si>
    <t>批量非示范单位所在楼层的大堂（首层、标准层）</t>
  </si>
  <si>
    <t>以集团公司安装预算专业公布为准　</t>
  </si>
  <si>
    <t>7-16</t>
  </si>
  <si>
    <t>批量室内装修水电工程</t>
  </si>
  <si>
    <t>7-17</t>
  </si>
  <si>
    <t>按年度或单件签署的零星工程</t>
  </si>
  <si>
    <t>第八章、 木制成品门窗（套、扇）、扶手安装工程</t>
  </si>
  <si>
    <t>门窗工程</t>
  </si>
  <si>
    <t>8-1</t>
  </si>
  <si>
    <t>木饰面单掩门连门套</t>
  </si>
  <si>
    <r>
      <rPr>
        <sz val="10"/>
        <rFont val="微软雅黑"/>
        <charset val="134"/>
      </rPr>
      <t>700~900mm宽</t>
    </r>
    <r>
      <rPr>
        <sz val="10"/>
        <rFont val="宋体"/>
        <charset val="134"/>
      </rPr>
      <t>×</t>
    </r>
    <r>
      <rPr>
        <sz val="10"/>
        <rFont val="微软雅黑"/>
        <charset val="134"/>
      </rPr>
      <t>2100mm高</t>
    </r>
  </si>
  <si>
    <t>1、清理基层，定位、刷防腐油、制作基层板；                                               2、门饰面清理基层，选料，弹线、开料、涂胶、粘贴固定、修边、擦净表面，将半成品运放集中地点；                    3、安装、调校、固定、填缝；                      4、清扫、磨砂纸、润油粉、刮腻子、刷底漆、面漆；                                            5、门锁定位、安装、调校等</t>
  </si>
  <si>
    <t>现场制安</t>
  </si>
  <si>
    <t>8-2</t>
  </si>
  <si>
    <t>木饰面双掩门连门套</t>
  </si>
  <si>
    <t>1600mm宽×2100mm高</t>
  </si>
  <si>
    <t>8-3</t>
  </si>
  <si>
    <t>木饰面子母门连门套</t>
  </si>
  <si>
    <t>1300mm宽×2100mm高</t>
  </si>
  <si>
    <t>8-4</t>
  </si>
  <si>
    <t>一般入户单掩门连门套</t>
  </si>
  <si>
    <t>1000mm宽×2100mm高</t>
  </si>
  <si>
    <t>8-5</t>
  </si>
  <si>
    <t>木饰面门套制安</t>
  </si>
  <si>
    <t>900mm宽×2100mm高</t>
  </si>
  <si>
    <t>8-6</t>
  </si>
  <si>
    <t>8-7</t>
  </si>
  <si>
    <t>安装单掩门连门套（含门套基层）</t>
  </si>
  <si>
    <t>主材另计,含运输及门锁五金安装及</t>
  </si>
  <si>
    <t>8-8</t>
  </si>
  <si>
    <t>安装双掩门连门套（含门套基层）</t>
  </si>
  <si>
    <t>1400mm宽×2100mm高</t>
  </si>
  <si>
    <t>8-9</t>
  </si>
  <si>
    <t>现场制安单掩门套12mm夹板基层
（板条打底式）</t>
  </si>
  <si>
    <t>1000mm宽×2200mm高以内规格</t>
  </si>
  <si>
    <t>1、清理基层，定位、刷防腐油、制作基层板；</t>
  </si>
  <si>
    <t>按工程联系单为计取依据</t>
  </si>
  <si>
    <t>8-10</t>
  </si>
  <si>
    <t>现场制安双掩门套12mm夹板基层
（板条打底式）</t>
  </si>
  <si>
    <t>1400mm宽×2200mm高以内规格</t>
  </si>
  <si>
    <t>8-11</t>
  </si>
  <si>
    <t>现场制安单掩门套12mm夹板基层
（整板打底式）</t>
  </si>
  <si>
    <t>8-12</t>
  </si>
  <si>
    <t>现场制安双掩门套12mm夹板基层
（整板打底式）</t>
  </si>
  <si>
    <t>8-13</t>
  </si>
  <si>
    <t>钢架结构底架封夹板管井暗门(含暗锁及五金件)1600*800㎜</t>
  </si>
  <si>
    <t>800mm宽×1600mm高</t>
  </si>
  <si>
    <t>铁件加工、焊接钢架、刷防锈漆、贴封夹板层等</t>
  </si>
  <si>
    <t>扶手、栏杆</t>
  </si>
  <si>
    <t>8-14</t>
  </si>
  <si>
    <t>12mm钢化玻璃楼梯拦河(不含不锈钢立柱、爪件、扶手等）</t>
  </si>
  <si>
    <t>900～1100mm高，临边 防护</t>
  </si>
  <si>
    <t>定位弹线、放样、下料、安装玻璃、嵌缝、清理等</t>
  </si>
  <si>
    <t>对甲收入价格(不含不锈钢立柱、爪件、扶手等）</t>
  </si>
  <si>
    <t>8-15</t>
  </si>
  <si>
    <t>15mm钢化玻璃楼梯拦河(不含不锈钢立柱、爪件、扶手等）</t>
  </si>
  <si>
    <t>8-16</t>
  </si>
  <si>
    <t>19mm钢化玻璃楼梯拦河(不含不锈钢立柱、爪件、扶手等）</t>
  </si>
  <si>
    <t>第九章、脚手架类工程</t>
  </si>
  <si>
    <t>9-1</t>
  </si>
  <si>
    <t>满堂超高脚手架(≥4.2米)</t>
  </si>
  <si>
    <t>1、挖坑、立杆、接杆、驳接上扣、铺板、绑扎、立柱垫脚等的搭设全部过程；2、施工期间的加固维修和安全管理、完工拆除工作；3、拆除后的材料分类整理、绑扎、堆放及场内外运输等</t>
  </si>
  <si>
    <r>
      <rPr>
        <sz val="10"/>
        <rFont val="微软雅黑"/>
        <charset val="134"/>
      </rPr>
      <t>m</t>
    </r>
    <r>
      <rPr>
        <vertAlign val="superscript"/>
        <sz val="10"/>
        <rFont val="微软雅黑"/>
        <charset val="134"/>
      </rPr>
      <t>3</t>
    </r>
  </si>
  <si>
    <t>9-2</t>
  </si>
  <si>
    <t>单排钢脚手架（外墙装饰用）</t>
  </si>
  <si>
    <t>9-3</t>
  </si>
  <si>
    <t xml:space="preserve">双排钢管脚手架（零星工程价格） </t>
  </si>
  <si>
    <t>①单栋门楼100m2以下：25元/m2
②单栋门楼100m2以上及外墙石材工程：20元/m2</t>
  </si>
  <si>
    <t>1、单栋门楼100m2以下：18元/m2
2、单栋门楼100m2以上及外墙石材工程：14元/m2</t>
  </si>
  <si>
    <t>9-3a</t>
  </si>
  <si>
    <t>①单栋门楼100m2以下：</t>
  </si>
  <si>
    <t>9-3b</t>
  </si>
  <si>
    <t>②单栋门楼100m2以上</t>
  </si>
  <si>
    <t>9-4</t>
  </si>
  <si>
    <t>装修综合脚手架</t>
  </si>
  <si>
    <t>凡结构净高大于4.2米、小于等于6米以内的天棚及墙面装饰，按装修综合脚手架计取</t>
  </si>
  <si>
    <t>在没有任何的脚手架的情况下才能计算该费用，按使用面积计算</t>
  </si>
  <si>
    <t>第十二章、独立措施及配管费项目</t>
  </si>
  <si>
    <t>楼地面工程</t>
  </si>
  <si>
    <t>12-1</t>
  </si>
  <si>
    <t>楼地面块料面层(瓷砖及石材类）及水泥砂浆结合层铲除</t>
  </si>
  <si>
    <t>凿除块料面层、结合层、清理基层、废渣堆放</t>
  </si>
  <si>
    <t>12-2</t>
  </si>
  <si>
    <t>楼地面整体水泥砂浆面层及结合层铲除</t>
  </si>
  <si>
    <t>凿除面层、结合层、清理基层、废渣堆放</t>
  </si>
  <si>
    <t>12-3</t>
  </si>
  <si>
    <t>拆除复合木地板</t>
  </si>
  <si>
    <t>拆除、清理基层、废料堆放</t>
  </si>
  <si>
    <t>12-4</t>
  </si>
  <si>
    <t>拆除木脚线</t>
  </si>
  <si>
    <t>拆除、清理基层、废料堆放。</t>
  </si>
  <si>
    <t>墙面工程</t>
  </si>
  <si>
    <t>12-5</t>
  </si>
  <si>
    <t>砖墙、砼墙面抹灰面铲除</t>
  </si>
  <si>
    <t>铲除抹灰层、清理基层、废渣堆放</t>
  </si>
  <si>
    <t>12-6</t>
  </si>
  <si>
    <t>铲除墙纸</t>
  </si>
  <si>
    <t>铲除墙纸、清理基层、废渣堆放</t>
  </si>
  <si>
    <t>12-7</t>
  </si>
  <si>
    <t>拆砖墙（120厚砖墙）</t>
  </si>
  <si>
    <t>拆除砖墙体、清理基层、废渣堆放</t>
  </si>
  <si>
    <t>12-8</t>
  </si>
  <si>
    <t>拆砖墙（180厚砖墙）</t>
  </si>
  <si>
    <t>12-9</t>
  </si>
  <si>
    <t>凿除墙面瓷砖、石材及水泥砂浆结合层、找平层</t>
  </si>
  <si>
    <t>铲除面层、结合层、找平层、清理基层、废料堆放</t>
  </si>
  <si>
    <t>天花工程</t>
  </si>
  <si>
    <t>12-10</t>
  </si>
  <si>
    <t>拆除石膏线（不分规格）</t>
  </si>
  <si>
    <t>拆除石膏线、清理基层、废渣堆放</t>
  </si>
  <si>
    <t>12-11</t>
  </si>
  <si>
    <t>窗帘盒/灯槽拆除</t>
  </si>
  <si>
    <t>12-12</t>
  </si>
  <si>
    <t>拆除轻钢龙骨石膏板、埃特板吊顶或轻钢龙骨铝扣板、铝塑板吊顶或轻钢龙骨木饰面吊顶</t>
  </si>
  <si>
    <t>拆除龙骨、基层、面层、清理基层、堆放废料</t>
  </si>
  <si>
    <t>12-13</t>
  </si>
  <si>
    <t>天花做轻钢龙骨石膏板吊顶（不换轻钢龙骨，只换面层石膏板）</t>
  </si>
  <si>
    <t>安装石膏板面层</t>
  </si>
  <si>
    <t>12-14</t>
  </si>
  <si>
    <t>天花更换方形铝扣板（只换面层方形铝扣板）</t>
  </si>
  <si>
    <t>安装方形铝扣板面层</t>
  </si>
  <si>
    <t>12-15</t>
  </si>
  <si>
    <t>天花开灯孔（仅用于已有旧天花面上）</t>
  </si>
  <si>
    <t>定位、机械开孔</t>
  </si>
  <si>
    <t>水电工程</t>
  </si>
  <si>
    <t>12-16</t>
  </si>
  <si>
    <t>拆除原有水箱座厕,清理,搬运</t>
  </si>
  <si>
    <t>拆除水箱座厕、清理基层、废料堆放</t>
  </si>
  <si>
    <t>12-17</t>
  </si>
  <si>
    <t>拆除原有脚踏蹲厕,清理,搬运</t>
  </si>
  <si>
    <t>拆除脚踏蹲厕、清理基层、废料堆放</t>
  </si>
  <si>
    <t>12-18</t>
  </si>
  <si>
    <t>拆除原有水箱蹲厕,清理,搬运</t>
  </si>
  <si>
    <t>拆除水箱蹲厕、清理基层、废料堆放</t>
  </si>
  <si>
    <t>12-19</t>
  </si>
  <si>
    <t>拆除原有洗手盆,清理,搬运</t>
  </si>
  <si>
    <t>拆除洗手盆、清理基层、废料堆放</t>
  </si>
  <si>
    <t>12-20</t>
  </si>
  <si>
    <t>拆除原有冷水龙头,清理</t>
  </si>
  <si>
    <t>拆除冷水龙头、清理基层、废料堆放</t>
  </si>
  <si>
    <t>12-21</t>
  </si>
  <si>
    <t>拆除原有冷热水龙头,清理</t>
  </si>
  <si>
    <t>拆除冷热水龙头、清理基层、废料堆放</t>
  </si>
  <si>
    <t>第十三章、独立措施及配管费项目</t>
  </si>
  <si>
    <t>独立措施费项目</t>
  </si>
  <si>
    <t>13-1</t>
  </si>
  <si>
    <t>安全文明施工费</t>
  </si>
  <si>
    <t>包含但不限于：
1、安全警示标志牌、现场围挡外墙美化、五板一图、企业标志、场容场貌、材料堆放、现场防火、垃圾存置（承包人要做到工完场清，负责将垃圾清运到甲方指定地点）、人员岗位标卡、环境保护、临边洞口交叉高处作业防护、保健急救措、安全检测费用、施工机具防护、平安卡等发生于该工程施工准备和施工过程中的技术、生活、安全、环境保护等方面的非实体项目；
2、需综合考虑现场搭建工法样板房、材料集中加工点等设施；</t>
  </si>
  <si>
    <t>按工程直接费*2%</t>
  </si>
  <si>
    <t>当涉及到垃圾外运至市政指定地点堆放时，需由投标人自行考虑。</t>
  </si>
  <si>
    <t>13-2</t>
  </si>
  <si>
    <t>临时设施及其它临时费用（水电、消防、电梯等）</t>
  </si>
  <si>
    <t>包含但不限于：现场办公生活设施、施工现场临时用电、施工现场临时用水设施、施工现场符合消防要求的消防设施等发生于该工程施工准备和施工过程中的技术、生活、安全、环境保护等方面的非实体项目。</t>
  </si>
  <si>
    <t>按工程直接费*1%</t>
  </si>
  <si>
    <t>13-3</t>
  </si>
  <si>
    <t>垂直运输及材料二次搬运费</t>
  </si>
  <si>
    <t>垂直运输指施工工程在合理工期内所需垂直运输机械费；材料二次搬运指由于施工场地条件限制而发生的材料、成品、半成品等一次运输不能到达堆放地点，必须进行的二次或多次搬运所产生的费用</t>
  </si>
  <si>
    <t>按工程直接费*0.5%</t>
  </si>
  <si>
    <t>1、涉及到别墅、特殊情况</t>
  </si>
  <si>
    <t>13-4</t>
  </si>
  <si>
    <t>已完工程及设备（成品）保护费</t>
  </si>
  <si>
    <t>标装工程成品保护费用＜2500元/平米（成本含甲供材）按套内面积计算</t>
  </si>
  <si>
    <t>1、对已完工程及设备采取的覆盖、包裹、封闭、隔离等必要保护措施；
2、数量按施工套内面积计算，费用已包括施工过程中必须对非施工区域进行保护的费用，如做室内批时装修时，对已完工的电梯间公共区域保护等，全国统一；
3、按《雅居乐地产装饰工程成品保护标准（2017版》要求的成品保护措施实施</t>
  </si>
  <si>
    <t>13-5</t>
  </si>
  <si>
    <t>措施费 豪装工程成品保护费用＞2500元/平米（成本含甲供材）按套内面积计算</t>
  </si>
  <si>
    <t>13-6</t>
  </si>
  <si>
    <t>措施费,毛坯交付项目,公共电梯大堂成品保护费用,按套内面积计算</t>
  </si>
  <si>
    <t>要求的成品保护措施实施</t>
  </si>
  <si>
    <t>13-7</t>
  </si>
  <si>
    <t xml:space="preserve"> 电梯轿箱保护 </t>
  </si>
  <si>
    <t>13-8</t>
  </si>
  <si>
    <t>第三方测评管理费</t>
  </si>
  <si>
    <t>工程验收除符合工程质量规范要求外；承包人必须服从并配合发包人委托的第三方检测单位、第三方验房单位的检查，工程质量需达到第三方检测、验房工作评估要求的质量要求制度，不符合质量要求制度的，承包人必须无条件整改，整改时间计入合同工期，未能按质量要求和时限要求完成整改的，须按本合同的约定承担相应的违约责任。</t>
  </si>
  <si>
    <t>按工程直接费*0.05%</t>
  </si>
  <si>
    <t>13-9</t>
  </si>
  <si>
    <t>赶工措施费</t>
  </si>
  <si>
    <t>1、赶工措施费指当发包人要求工期少于合理工期或者工程项目由于自然、地质以及外部环境的影响导致工期延误，承包方为满足发包方的工期要求、通过采用相应的技术及组织措施所发生的费用；
2、指施工过程中，因合同约定的非施工单位原因导致工程延期，而发包方又要求该项工程必须在施工合同约定的日期前完工，采用相应技术及组织措施所发生的费用</t>
  </si>
  <si>
    <t>如发生时单独计取</t>
  </si>
  <si>
    <t>配管费项目</t>
  </si>
  <si>
    <t>13-10</t>
  </si>
  <si>
    <t>甲分包配管费（如木制品、淋浴隔断等）</t>
  </si>
  <si>
    <t>通常指由承包单位和专业分包单位的项目施工配合费：含提供水电接口、提供垂直运输、收口、施工脚手架、、成品保护、平行交叉影响、铁件预埋等的服务、配合管理责任、施工现场管理等服务所需的费用。包括的主要内容（但不限于）：
1.提供工地内垂直运输设备（如塔吊、施工电梯、井架等）。
2.通道与场地，负责安排作业面及作业时间。
3.承包人须在现场为专业分包单位提供仓储地点、卸货点等
4.承包人负责提供施工及生活用水、用电及其调试所需水电接口；
5. 承包人负责提供标高、定位点线等。
6.承包人须协调好所承包项目与各专业分包人承包工程的施工顺序，如存在管线等安装位置矛盾等问题，各单位不能擅自施工，须协调变更设计后方能施工，否则，已施工完管线等的拆除、报废等费用由擅自施工方自行承担。</t>
  </si>
  <si>
    <t>13-11</t>
  </si>
  <si>
    <t>甲供材保管及相关检测费</t>
  </si>
  <si>
    <t>第十四章、非标杆外项目</t>
  </si>
  <si>
    <t>14-1</t>
  </si>
  <si>
    <t>地面水泥基自流平</t>
  </si>
  <si>
    <t>14-2</t>
  </si>
  <si>
    <t>木饰面楼梯拦河基层制作（含灯槽制作、机片安装）。面层木饰面、不锈钢脚线另计</t>
  </si>
  <si>
    <t>950mm高，临边 防护</t>
  </si>
  <si>
    <t>14-3</t>
  </si>
  <si>
    <t>木饰面平台拦河基层制作（含灯槽制作、机片安装）。面层木饰面、不锈钢脚线另计</t>
  </si>
  <si>
    <t>1050mm高，临边 防护</t>
  </si>
  <si>
    <t>措施费说明</t>
  </si>
  <si>
    <t>序号</t>
  </si>
  <si>
    <t>项目名称</t>
  </si>
  <si>
    <t>项目特征及工程内容</t>
  </si>
  <si>
    <t>工程量计算规则</t>
  </si>
  <si>
    <t>单位</t>
  </si>
  <si>
    <t>备注</t>
  </si>
  <si>
    <t>包括但不限于：1、噪音及排污管理费、楼栋日常清理及保安费用、生活住宿区及现场办公区、配合施工的各类检测等；2、材料加工工厂化、图纸深度标准化、现场管理可视化、施工现场整洁化、安全帽、标牌等；3、建筑垃圾清理及运输费（运送至总包单位指定的场内垃圾堆放点），包含甲供材、甲分包产生的垃圾清理及运输费；4、其他安全文明施工措施费等。</t>
  </si>
  <si>
    <t>1、装饰楼地面面积，定标后不再调整。
2、含增值税综合单价为税后全费用综合单价,不再计算其他费用。</t>
  </si>
  <si>
    <t>m2</t>
  </si>
  <si>
    <t>环境保护费</t>
  </si>
  <si>
    <t>环境保护包含但不限于：1、现场施工机械设备降低噪音、防扰民措施费用；2、水泥和其他易飞扬细颗粒建筑材料密闭存放或采取覆盖措施等费用；3、工程防扬尘洒水费用；4、外运车辆冲洗、防洒漏等费用；5、现场污染源的控制、生活垃圾清理外运、场地排水排污措施的费用；6、施工现场为达到环保等有关部门要求所需要的各项费用；7、其他环境保护措施费等。</t>
  </si>
  <si>
    <t>冬雨季、夏季、夜间施工费、非夜间施工费</t>
  </si>
  <si>
    <t xml:space="preserve">一、冬雨季施工增加费
1、冬雨（风）季施工时增加的临时设施（防寒保温、防雨、防风设施）的搭设、拆除； 2、冬雨（风）季施工时，采用的特殊加温、保温和养护措施；3、冬雨（风）季施工时，施工现场的防滑处理、对影响施工的雨雪的清除；4、包括冬雨（风）季施工时增加的临时设施的摊销、施工人员的劳动保护用品、冬雨（风）季施工劳动效率降低等费用；5、建设单位和监理单位审核确定的冬季施工方案进行的冬季施工费用。
二、夏季施工增加费
1、夏季施工增加的洒水降尘；2、夏季施工增加的防暑降温保护措施费；3、夏季施工天气干燥增加的防火措施费；4、夏季施工增加的其他措施费。
三、夜间、非夜间施工增加费
1、夜间固定照明灯具和临时可移动照明灯具的设置、拆除；2、夜间施工时，施工现场交通标志、安全标牌、警示灯等的设置、移动、拆除；3、包括夜间照明设备摊销及照明用电、施工人员夜班、夜间施工劳动效率降低等费用；4、夜间施工费、工期赶工或配合营销需要增加的赶工费用或由此造成的材料代用增加费用等、合同工期内不超过2个月的赶工增加而引起的各种人工、材料、机械设备的损耗及增加（含周转材料等）以及其它保证合同工期和甲方要求的各类措施费；5.虽然合同已有其它规定,即使如因非乙方原因使得开工日期推后一个月内,乙方承诺按建设单位及监理单位的要求在合同规定的基础上增加劳动力和设备及材料的投入,确保工程能按合同相关约定的竣工日期竣工验收合格,并保证不因乙方的任何原因而影响建设单位取得《竣工验收备案证明书》,由此增加的赶工措施费用；6、非夜间施工增加的各种费用；7、因场地、项目所处位置的特殊性而增加的夜间施工、赶工费,包括但不限于:(1)不能进行夜间施工而采取的措施所增加的费用；(2)构件异地加工增加费用；(3)因赶工等采取的措施增加费用；(4)因赶工模板采用一次或多次摊销费用；(5)因中考、高考、交通管制及政府部门限制施工（强制停工）引起的赶工费用。
</t>
  </si>
  <si>
    <t>临时设施费</t>
  </si>
  <si>
    <t>临时设施包含范围：1、施工现场临时建筑物、构筑物的搭设、维修、拆除或摊销的费用，如临时宿舍、办公室、食堂、厨房、厕所、诊疗所、临时文化福利用房、临时仓库、加工场、搅拌台、临时简易水塔、水池等；2、施工现场临时设施的搭设、维修、拆除或摊销的费用，如临时供水管道、临时供电管线、小型临时设施等；3、施工现场规定范围内临时简易道路铺设、维修、拆除的费用；4、为建设单位、咨询单位、监理单位提供的现场工作用房，需配备有足够的照明、插座、电话、空调和取暖设施等；5、为建设单位和监理单位提供整洁卫生的现场厕所；6、按合同、建设单位要求和施工需要修建用于本工程建设的各种临时设施，包括车间、仓库、现场砼搅拌站、安全围栏、临时道路、现场公共厕所等，并在不需要的时候进行拆除和恢复原状，拆除建渣清运至合法倒场；7、其他临时设施费搭设、维修、拆除或摊销的费用；8、配合甲方开发节奏变化产生的临时设施搬迁费用；9、因本工程场地限制，施工单位自行考虑临时设施场地及搭设、安拆费用。</t>
  </si>
  <si>
    <t>二次及多次转运费（含甲供材装卸费）</t>
  </si>
  <si>
    <t>包括由于施工场地条件限制而发生的材料、成品、半成品等一次运输不能到达堆放地点,必须进行二次或多次搬运的费用，包含甲供材料的装卸费、转运费等。</t>
  </si>
  <si>
    <t>脚手架（综合）</t>
  </si>
  <si>
    <t>1、室内装修脚手架搭设，不区分层高及搭设部位；
2、不区分搭设材料及搭设方式，包含架管、扣件、跳板等所有相关材料的购买、租赁、搭设、拆除、进出场等费用；
3、脚手架应无偿提供给其他相关精装分包单位使用；
4、其他脚手架相关费用。</t>
  </si>
  <si>
    <t>垂直运输费及综合考虑超高降效费</t>
  </si>
  <si>
    <t>1、包括合理工期内完成全部工作所需的垂直运输机械台班。但不包括大型机械的场外运输、安装拆卸及轨道铺拆和基础等费用；
2、包括超高增加的人工、机械降效费；
3、垂直运输设备应无偿提供给其他相关分包单位使用；
4、其他相关垂直运输产生的一切费用。</t>
  </si>
  <si>
    <t>总包移交后修补及整改费用</t>
  </si>
  <si>
    <t>总包移交时，精装单位有责任仔细核查土建总包及其他专业分包移交工作面满足技术质量要求，对移交后发生的质量问题由精装单位负责修补及整改。同时包括场地的清理、障碍物的清除移位等，使得工作面能够达到可以施工的要求。</t>
  </si>
  <si>
    <t>成品保护费</t>
  </si>
  <si>
    <t>1、对已完工程及设备采取的覆盖、包裹、封闭、隔离等必要保护措施所发生的费用；2、工程竣工验收和工程移交前乙方对竣工工程(包含分包工程)进行的成品保护、保卫和守护所发生的费用；3、在需要时，或者应建设单位的要求，或应法定主管机构或其他保卫部门的要求，为保护工程或保证公众和其它方面的安全和方便，在需要的地方对工程提供照明、警戒、围栏等费用；4、包含施工过程中对电梯轿厢的保护。</t>
  </si>
  <si>
    <t>1、地面装修面积，定标后不再调整。
2、含增值税综合单价为税后全费用综合单价,不再计算其他费用。</t>
  </si>
  <si>
    <t>开荒保洁、精保洁费</t>
  </si>
  <si>
    <t>1、按要求完成精装修施工过程中的保洁及交付前的精细保洁工作；2、精保洁不限次数，必须满足交付验收标准。</t>
  </si>
  <si>
    <t>检验试验费</t>
  </si>
  <si>
    <t>1、对建筑材料、构件和建筑安装物进行一般鉴定、检查（不包含新结构、新材料的试验费、对构件做破坏性试验及其他特殊要求一切检验试验的费用）所发生的费用,包括自设试验室进行试验所耗用的材料和化学药品等费用。所有的材料和工艺都应符合合同规定和甲方的要求。
2、乙方应提供相应的质检报告和出厂合格证等资料（甲供的材料和设备除外），并随时按甲方项目总代表的指令在现场或其它地方进行检验、测试,并按甲方要求提供样品。
3、如果项目所在地政策规定材料检测费需要由甲方单独签订检测合同，则该项费用由甲方代为支付，相应金额的材料检测费用在工程款中扣回。若实际甲方代为支付金额超过乙方所报清单措施中材料检测费金额，差额部分由乙方承担，不予补偿。</t>
  </si>
  <si>
    <t>其他措施费</t>
  </si>
  <si>
    <t>除列明的措施项目外，凡招标文件中有要求或本工程有要求，但清单未列而项目实施过程中可能发生的一切措施项目，承包人均应综合考虑计入本条清单报价内，不论施工过程中发生何种因素导致的措施费增加，费用均由承包人承担。包括为了满足规范要求、政府要求及防疫需要所增加的费用；</t>
  </si>
  <si>
    <t>备注：
1、本表中，措施费报价总价为包干费用，即不可调整费用。
2、工程量计算基数中所指的展示区装饰楼地面面积指展示区施工蓝图面积，定标后均不再调整。
3、清单措施项仅供参考，请投标人根据施工组织设计等自行报价。如投标人认为本清单项目不全，可根据实际需要在其他措施费项中报价。
4、投标人报价时应就以上项目进行报价，未填写部分视为已包含在其他费用中；
5、设计变更及签证工程中发生的措施费已包括在上述报价中，实际发生变更签证时不再另行计取措施费；
6、上述投标报价为包含人工、材料、机械、管理费、利润、规费、税金的含税价格。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</si>
</sst>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00_ ;_ [$€-2]* \-#,##0.00_ ;_ [$€-2]* &quot;-&quot;??_ "/>
    <numFmt numFmtId="177" formatCode="0.00_);[Red]\(0.00\)"/>
    <numFmt numFmtId="178" formatCode="0_ ;[Red]\-0\ "/>
    <numFmt numFmtId="179" formatCode="0.00_ "/>
  </numFmts>
  <fonts count="55">
    <font>
      <sz val="11"/>
      <color theme="1"/>
      <name val="宋体"/>
      <charset val="134"/>
      <scheme val="minor"/>
    </font>
    <font>
      <sz val="10"/>
      <color theme="1"/>
      <name val="宋体"/>
      <charset val="134"/>
    </font>
    <font>
      <b/>
      <sz val="14"/>
      <name val="宋体"/>
      <charset val="134"/>
    </font>
    <font>
      <b/>
      <sz val="10"/>
      <name val="宋体"/>
      <charset val="134"/>
    </font>
    <font>
      <sz val="10"/>
      <name val="宋体"/>
      <charset val="134"/>
    </font>
    <font>
      <sz val="11"/>
      <name val="宋体"/>
      <charset val="134"/>
    </font>
    <font>
      <sz val="11"/>
      <color rgb="FFFF0000"/>
      <name val="宋体"/>
      <charset val="134"/>
    </font>
    <font>
      <b/>
      <sz val="11"/>
      <name val="微软雅黑"/>
      <charset val="134"/>
    </font>
    <font>
      <b/>
      <sz val="26"/>
      <name val="宋体"/>
      <charset val="134"/>
    </font>
    <font>
      <b/>
      <sz val="18"/>
      <name val="宋体"/>
      <charset val="134"/>
    </font>
    <font>
      <b/>
      <sz val="10"/>
      <name val="微软雅黑"/>
      <charset val="134"/>
    </font>
    <font>
      <b/>
      <sz val="12"/>
      <name val="微软雅黑"/>
      <charset val="134"/>
    </font>
    <font>
      <b/>
      <sz val="16"/>
      <name val="微软雅黑"/>
      <charset val="134"/>
    </font>
    <font>
      <sz val="10"/>
      <name val="微软雅黑"/>
      <charset val="134"/>
    </font>
    <font>
      <sz val="9"/>
      <name val="微软雅黑"/>
      <charset val="134"/>
    </font>
    <font>
      <sz val="12"/>
      <name val="微软雅黑"/>
      <charset val="134"/>
    </font>
    <font>
      <sz val="10"/>
      <color rgb="FFFF0000"/>
      <name val="微软雅黑"/>
      <charset val="134"/>
    </font>
    <font>
      <sz val="9"/>
      <color rgb="FFFF0000"/>
      <name val="微软雅黑"/>
      <charset val="134"/>
    </font>
    <font>
      <sz val="12"/>
      <color rgb="FFFF0000"/>
      <name val="微软雅黑"/>
      <charset val="134"/>
    </font>
    <font>
      <b/>
      <sz val="10"/>
      <color rgb="FFFF0000"/>
      <name val="微软雅黑"/>
      <charset val="134"/>
    </font>
    <font>
      <sz val="10"/>
      <color rgb="FFFF0000"/>
      <name val="宋体"/>
      <charset val="134"/>
    </font>
    <font>
      <sz val="11"/>
      <name val="宋体"/>
      <charset val="134"/>
      <scheme val="minor"/>
    </font>
    <font>
      <sz val="10"/>
      <name val="宋体"/>
      <charset val="134"/>
      <scheme val="minor"/>
    </font>
    <font>
      <sz val="10"/>
      <color rgb="FFFF0000"/>
      <name val="宋体"/>
      <charset val="134"/>
      <scheme val="minor"/>
    </font>
    <font>
      <sz val="11"/>
      <name val="微软雅黑"/>
      <charset val="134"/>
    </font>
    <font>
      <strike/>
      <sz val="10"/>
      <name val="微软雅黑"/>
      <charset val="134"/>
    </font>
    <font>
      <b/>
      <sz val="11"/>
      <name val="宋体"/>
      <charset val="134"/>
    </font>
    <font>
      <b/>
      <sz val="9.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0"/>
      <name val="Arial Unicode MS"/>
      <charset val="134"/>
    </font>
    <font>
      <sz val="12"/>
      <name val="新細明體"/>
      <charset val="134"/>
    </font>
    <font>
      <vertAlign val="superscript"/>
      <sz val="10"/>
      <name val="微软雅黑"/>
      <charset val="134"/>
    </font>
    <font>
      <sz val="10"/>
      <color indexed="10"/>
      <name val="宋体"/>
      <charset val="134"/>
    </font>
    <font>
      <b/>
      <sz val="9"/>
      <name val="宋体"/>
      <charset val="134"/>
    </font>
    <font>
      <sz val="9"/>
      <name val="宋体"/>
      <charset val="134"/>
    </font>
  </fonts>
  <fills count="38">
    <fill>
      <patternFill patternType="none"/>
    </fill>
    <fill>
      <patternFill patternType="gray125"/>
    </fill>
    <fill>
      <patternFill patternType="solid">
        <fgColor theme="0" tint="-0.249977111117893"/>
        <bgColor indexed="64"/>
      </patternFill>
    </fill>
    <fill>
      <patternFill patternType="solid">
        <fgColor theme="6" tint="0.399975585192419"/>
        <bgColor indexed="64"/>
      </patternFill>
    </fill>
    <fill>
      <patternFill patternType="solid">
        <fgColor theme="0"/>
        <bgColor indexed="64"/>
      </patternFill>
    </fill>
    <fill>
      <patternFill patternType="solid">
        <fgColor theme="4" tint="0.399975585192419"/>
        <bgColor indexed="64"/>
      </patternFill>
    </fill>
    <fill>
      <patternFill patternType="solid">
        <fgColor rgb="FFFFC000"/>
        <bgColor indexed="64"/>
      </patternFill>
    </fill>
    <fill>
      <patternFill patternType="solid">
        <fgColor rgb="FFFF0000"/>
        <bgColor indexed="64"/>
      </patternFill>
    </fill>
    <fill>
      <patternFill patternType="solid">
        <fgColor theme="4" tint="0.399975585192419"/>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9" borderId="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8" applyNumberFormat="0" applyFill="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5" fillId="0" borderId="0" applyNumberFormat="0" applyFill="0" applyBorder="0" applyAlignment="0" applyProtection="0">
      <alignment vertical="center"/>
    </xf>
    <xf numFmtId="0" fontId="36" fillId="10" borderId="10" applyNumberFormat="0" applyAlignment="0" applyProtection="0">
      <alignment vertical="center"/>
    </xf>
    <xf numFmtId="0" fontId="37" fillId="11" borderId="11" applyNumberFormat="0" applyAlignment="0" applyProtection="0">
      <alignment vertical="center"/>
    </xf>
    <xf numFmtId="0" fontId="38" fillId="11" borderId="10" applyNumberFormat="0" applyAlignment="0" applyProtection="0">
      <alignment vertical="center"/>
    </xf>
    <xf numFmtId="0" fontId="39" fillId="12" borderId="12" applyNumberFormat="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5"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3"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xf numFmtId="176" fontId="47" fillId="0" borderId="0"/>
    <xf numFmtId="0" fontId="0" fillId="0" borderId="0"/>
    <xf numFmtId="0" fontId="48" fillId="0" borderId="0">
      <alignment vertical="center"/>
    </xf>
    <xf numFmtId="0" fontId="49" fillId="0" borderId="0">
      <alignment vertical="center"/>
    </xf>
    <xf numFmtId="0" fontId="50" fillId="0" borderId="0"/>
    <xf numFmtId="43" fontId="48" fillId="0" borderId="0" applyFont="0" applyFill="0" applyBorder="0" applyAlignment="0" applyProtection="0">
      <alignment vertical="center"/>
    </xf>
  </cellStyleXfs>
  <cellXfs count="211">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left"/>
    </xf>
    <xf numFmtId="0" fontId="2" fillId="0" borderId="0" xfId="53" applyFont="1" applyFill="1" applyBorder="1" applyAlignment="1" applyProtection="1">
      <alignment horizontal="center" vertical="center" wrapText="1"/>
    </xf>
    <xf numFmtId="0" fontId="2" fillId="0" borderId="0" xfId="53" applyFont="1" applyFill="1" applyBorder="1" applyAlignment="1" applyProtection="1">
      <alignment horizontal="left" vertical="center" wrapText="1"/>
    </xf>
    <xf numFmtId="0" fontId="3" fillId="2" borderId="1" xfId="53" applyFont="1" applyFill="1" applyBorder="1" applyAlignment="1" applyProtection="1">
      <alignment horizontal="center" vertical="center" wrapText="1"/>
    </xf>
    <xf numFmtId="0" fontId="3" fillId="2" borderId="2" xfId="53" applyFont="1" applyFill="1" applyBorder="1" applyAlignment="1" applyProtection="1">
      <alignment horizontal="center" vertical="center" wrapText="1"/>
    </xf>
    <xf numFmtId="43" fontId="3" fillId="2" borderId="1" xfId="54" applyFont="1" applyFill="1" applyBorder="1" applyAlignment="1" applyProtection="1">
      <alignment horizontal="center" vertical="center" wrapText="1"/>
    </xf>
    <xf numFmtId="0" fontId="4" fillId="0" borderId="1" xfId="53" applyFont="1" applyFill="1" applyBorder="1" applyAlignment="1" applyProtection="1">
      <alignment horizontal="center" vertical="center" wrapText="1"/>
    </xf>
    <xf numFmtId="0" fontId="4" fillId="0" borderId="1" xfId="53" applyFont="1" applyFill="1" applyBorder="1" applyAlignment="1" applyProtection="1">
      <alignment vertical="center" wrapText="1"/>
    </xf>
    <xf numFmtId="0" fontId="4" fillId="0" borderId="1" xfId="53" applyFont="1" applyFill="1" applyBorder="1" applyAlignment="1" applyProtection="1">
      <alignment horizontal="left" vertical="center" wrapText="1"/>
    </xf>
    <xf numFmtId="43" fontId="4" fillId="0" borderId="1" xfId="54" applyFont="1" applyFill="1" applyBorder="1" applyAlignment="1" applyProtection="1">
      <alignment horizontal="center" vertical="center" wrapText="1"/>
    </xf>
    <xf numFmtId="0" fontId="1" fillId="0" borderId="0" xfId="0" applyFont="1" applyFill="1" applyBorder="1" applyAlignment="1">
      <alignment wrapText="1"/>
    </xf>
    <xf numFmtId="0" fontId="1" fillId="0" borderId="0" xfId="0" applyFont="1" applyFill="1" applyBorder="1" applyAlignment="1">
      <alignment horizontal="left" vertical="top" wrapText="1"/>
    </xf>
    <xf numFmtId="0" fontId="5" fillId="3" borderId="0" xfId="0" applyFont="1" applyFill="1" applyBorder="1" applyAlignment="1">
      <alignment vertical="center"/>
    </xf>
    <xf numFmtId="0" fontId="6" fillId="0" borderId="0" xfId="0" applyFont="1" applyFill="1" applyBorder="1" applyAlignment="1">
      <alignment vertical="center"/>
    </xf>
    <xf numFmtId="49" fontId="5" fillId="0" borderId="0" xfId="0" applyNumberFormat="1" applyFont="1" applyFill="1" applyBorder="1" applyAlignment="1">
      <alignment vertical="center"/>
    </xf>
    <xf numFmtId="0" fontId="5" fillId="0" borderId="0" xfId="0" applyFont="1" applyFill="1" applyBorder="1" applyAlignment="1">
      <alignment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vertical="center"/>
    </xf>
    <xf numFmtId="0" fontId="7" fillId="0" borderId="0" xfId="0" applyNumberFormat="1" applyFont="1" applyFill="1" applyBorder="1" applyAlignment="1">
      <alignment horizontal="center" vertical="center"/>
    </xf>
    <xf numFmtId="178" fontId="5" fillId="4" borderId="0" xfId="0" applyNumberFormat="1" applyFont="1" applyFill="1" applyBorder="1" applyAlignment="1">
      <alignment horizontal="center" vertical="center"/>
    </xf>
    <xf numFmtId="177" fontId="5" fillId="5" borderId="0" xfId="0" applyNumberFormat="1" applyFont="1" applyFill="1" applyBorder="1" applyAlignment="1">
      <alignment horizontal="center" vertical="center"/>
    </xf>
    <xf numFmtId="0" fontId="4" fillId="4" borderId="0" xfId="0" applyFont="1" applyFill="1" applyBorder="1" applyAlignment="1">
      <alignment vertical="center" wrapText="1"/>
    </xf>
    <xf numFmtId="0" fontId="8" fillId="0" borderId="0" xfId="0" applyNumberFormat="1" applyFont="1" applyFill="1" applyAlignment="1">
      <alignment horizontal="center" vertical="center" wrapText="1"/>
    </xf>
    <xf numFmtId="0" fontId="9" fillId="0" borderId="0" xfId="0" applyNumberFormat="1" applyFont="1" applyFill="1" applyBorder="1" applyAlignment="1">
      <alignment horizontal="center" vertical="center"/>
    </xf>
    <xf numFmtId="0" fontId="9" fillId="6" borderId="0" xfId="0" applyNumberFormat="1" applyFont="1" applyFill="1" applyAlignment="1">
      <alignment horizontal="center" vertical="center"/>
    </xf>
    <xf numFmtId="178" fontId="10" fillId="7" borderId="3" xfId="0" applyNumberFormat="1" applyFont="1" applyFill="1" applyBorder="1" applyAlignment="1">
      <alignment horizontal="center" vertical="center" wrapText="1"/>
    </xf>
    <xf numFmtId="178" fontId="10" fillId="7" borderId="4" xfId="0" applyNumberFormat="1" applyFont="1" applyFill="1" applyBorder="1" applyAlignment="1">
      <alignment horizontal="center" vertical="center" wrapText="1"/>
    </xf>
    <xf numFmtId="178" fontId="10" fillId="7" borderId="5" xfId="0" applyNumberFormat="1" applyFont="1" applyFill="1" applyBorder="1" applyAlignment="1">
      <alignment horizontal="center" vertical="center" wrapText="1"/>
    </xf>
    <xf numFmtId="177" fontId="5" fillId="0" borderId="0" xfId="0" applyNumberFormat="1" applyFont="1" applyFill="1" applyBorder="1" applyAlignment="1">
      <alignment horizontal="center" vertical="center"/>
    </xf>
    <xf numFmtId="49" fontId="10" fillId="0"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center" vertical="center" wrapText="1"/>
    </xf>
    <xf numFmtId="0" fontId="10" fillId="0" borderId="1" xfId="0" applyFont="1" applyFill="1" applyBorder="1" applyAlignment="1">
      <alignment horizontal="center" vertical="center"/>
    </xf>
    <xf numFmtId="177" fontId="10" fillId="0" borderId="1" xfId="0" applyNumberFormat="1" applyFont="1" applyFill="1" applyBorder="1" applyAlignment="1">
      <alignment vertical="center" wrapText="1"/>
    </xf>
    <xf numFmtId="177" fontId="10" fillId="0" borderId="1" xfId="0" applyNumberFormat="1" applyFont="1" applyFill="1" applyBorder="1" applyAlignment="1" applyProtection="1">
      <alignment horizontal="center"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pplyProtection="1">
      <alignment horizontal="center" vertical="center" wrapText="1"/>
    </xf>
    <xf numFmtId="178" fontId="10" fillId="4" borderId="3" xfId="0" applyNumberFormat="1" applyFont="1" applyFill="1" applyBorder="1" applyAlignment="1">
      <alignment horizontal="center" vertical="center" wrapText="1"/>
    </xf>
    <xf numFmtId="178" fontId="10" fillId="4" borderId="4" xfId="0" applyNumberFormat="1" applyFont="1" applyFill="1" applyBorder="1" applyAlignment="1">
      <alignment horizontal="center" vertical="center" wrapText="1"/>
    </xf>
    <xf numFmtId="178" fontId="10" fillId="4" borderId="5" xfId="0" applyNumberFormat="1" applyFont="1" applyFill="1" applyBorder="1" applyAlignment="1">
      <alignment horizontal="center" vertical="center" wrapText="1"/>
    </xf>
    <xf numFmtId="177" fontId="7" fillId="5" borderId="1" xfId="0" applyNumberFormat="1" applyFont="1" applyFill="1" applyBorder="1" applyAlignment="1">
      <alignment horizontal="center" vertical="center" wrapText="1"/>
    </xf>
    <xf numFmtId="0" fontId="10" fillId="4" borderId="1" xfId="0" applyNumberFormat="1" applyFont="1" applyFill="1" applyBorder="1" applyAlignment="1" applyProtection="1">
      <alignment horizontal="center" vertical="center" wrapText="1"/>
    </xf>
    <xf numFmtId="0" fontId="11" fillId="3" borderId="4" xfId="0" applyNumberFormat="1" applyFont="1" applyFill="1" applyBorder="1" applyAlignment="1" applyProtection="1">
      <alignment horizontal="center" vertical="center" wrapText="1"/>
    </xf>
    <xf numFmtId="0" fontId="12" fillId="3" borderId="6" xfId="0" applyNumberFormat="1" applyFont="1" applyFill="1" applyBorder="1" applyAlignment="1" applyProtection="1">
      <alignment vertical="center" wrapText="1"/>
    </xf>
    <xf numFmtId="178" fontId="12" fillId="2" borderId="6" xfId="0" applyNumberFormat="1" applyFont="1" applyFill="1" applyBorder="1" applyAlignment="1" applyProtection="1">
      <alignment horizontal="center" vertical="center" wrapText="1"/>
    </xf>
    <xf numFmtId="177" fontId="7" fillId="5" borderId="6" xfId="0" applyNumberFormat="1" applyFont="1" applyFill="1" applyBorder="1" applyAlignment="1" applyProtection="1">
      <alignment horizontal="center" vertical="center" wrapText="1"/>
    </xf>
    <xf numFmtId="0" fontId="10" fillId="2" borderId="6" xfId="0" applyNumberFormat="1" applyFont="1" applyFill="1" applyBorder="1" applyAlignment="1" applyProtection="1">
      <alignment vertical="center" wrapText="1"/>
    </xf>
    <xf numFmtId="49" fontId="13" fillId="0" borderId="1" xfId="0" applyNumberFormat="1" applyFont="1" applyFill="1" applyBorder="1" applyAlignment="1" applyProtection="1">
      <alignment horizontal="center" vertical="center" wrapText="1"/>
    </xf>
    <xf numFmtId="0" fontId="13" fillId="0" borderId="1" xfId="0" applyNumberFormat="1" applyFont="1" applyFill="1" applyBorder="1" applyAlignment="1" applyProtection="1">
      <alignment horizontal="left" vertical="center" wrapText="1"/>
    </xf>
    <xf numFmtId="0" fontId="13" fillId="0" borderId="1" xfId="0" applyNumberFormat="1" applyFont="1" applyFill="1" applyBorder="1" applyAlignment="1" applyProtection="1">
      <alignment horizontal="center" vertical="center" wrapText="1"/>
    </xf>
    <xf numFmtId="0" fontId="14" fillId="0" borderId="1" xfId="0" applyNumberFormat="1" applyFont="1" applyFill="1" applyBorder="1" applyAlignment="1" applyProtection="1">
      <alignment horizontal="center" vertical="center" wrapText="1"/>
    </xf>
    <xf numFmtId="0" fontId="14" fillId="0" borderId="1" xfId="0"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177" fontId="13" fillId="0" borderId="1" xfId="0" applyNumberFormat="1" applyFont="1" applyFill="1" applyBorder="1" applyAlignment="1" applyProtection="1">
      <alignment horizontal="center" vertical="center" wrapText="1"/>
    </xf>
    <xf numFmtId="177" fontId="13" fillId="0" borderId="1" xfId="0" applyNumberFormat="1" applyFont="1" applyFill="1" applyBorder="1" applyAlignment="1">
      <alignment horizontal="center" vertical="center" wrapText="1"/>
    </xf>
    <xf numFmtId="0" fontId="13" fillId="0" borderId="3" xfId="0" applyNumberFormat="1" applyFont="1" applyFill="1" applyBorder="1" applyAlignment="1" applyProtection="1">
      <alignment horizontal="left" vertical="center" wrapText="1"/>
    </xf>
    <xf numFmtId="178" fontId="5" fillId="4" borderId="1" xfId="0" applyNumberFormat="1" applyFont="1" applyFill="1" applyBorder="1" applyAlignment="1">
      <alignment horizontal="center" vertical="center"/>
    </xf>
    <xf numFmtId="177" fontId="5" fillId="5" borderId="1" xfId="0" applyNumberFormat="1" applyFont="1" applyFill="1" applyBorder="1" applyAlignment="1">
      <alignment horizontal="center" vertical="center"/>
    </xf>
    <xf numFmtId="0" fontId="4" fillId="4" borderId="1" xfId="0" applyFont="1" applyFill="1" applyBorder="1" applyAlignment="1">
      <alignment vertical="center" wrapText="1"/>
    </xf>
    <xf numFmtId="0" fontId="14" fillId="0" borderId="1" xfId="0" applyNumberFormat="1" applyFont="1" applyFill="1" applyBorder="1" applyAlignment="1" applyProtection="1">
      <alignment horizontal="left" vertical="center" wrapText="1"/>
    </xf>
    <xf numFmtId="177" fontId="13" fillId="0" borderId="1" xfId="1" applyNumberFormat="1" applyFont="1" applyFill="1" applyBorder="1" applyAlignment="1" applyProtection="1">
      <alignment horizontal="center" vertical="center" wrapText="1"/>
    </xf>
    <xf numFmtId="0" fontId="14" fillId="0" borderId="3" xfId="0" applyNumberFormat="1" applyFont="1" applyFill="1" applyBorder="1" applyAlignment="1" applyProtection="1">
      <alignment horizontal="left" vertical="center" wrapText="1"/>
    </xf>
    <xf numFmtId="0" fontId="13"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center" vertical="center" wrapText="1"/>
    </xf>
    <xf numFmtId="0" fontId="13" fillId="0" borderId="3" xfId="0" applyNumberFormat="1" applyFont="1" applyFill="1" applyBorder="1" applyAlignment="1">
      <alignment horizontal="left" vertical="center" wrapText="1"/>
    </xf>
    <xf numFmtId="0" fontId="13" fillId="0" borderId="3" xfId="0" applyNumberFormat="1" applyFont="1" applyFill="1" applyBorder="1" applyAlignment="1">
      <alignment vertical="center" wrapText="1"/>
    </xf>
    <xf numFmtId="0" fontId="13"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3" fillId="0" borderId="3" xfId="0" applyFont="1" applyFill="1" applyBorder="1" applyAlignment="1">
      <alignment horizontal="left" vertical="center"/>
    </xf>
    <xf numFmtId="0" fontId="14" fillId="0" borderId="3" xfId="0" applyNumberFormat="1" applyFont="1" applyFill="1" applyBorder="1" applyAlignment="1">
      <alignment horizontal="left" vertical="center" wrapText="1"/>
    </xf>
    <xf numFmtId="177" fontId="13" fillId="0" borderId="1" xfId="0" applyNumberFormat="1" applyFont="1" applyFill="1" applyBorder="1" applyAlignment="1">
      <alignment horizontal="right" vertical="center"/>
    </xf>
    <xf numFmtId="177" fontId="13" fillId="0" borderId="1" xfId="0" applyNumberFormat="1" applyFont="1" applyFill="1" applyBorder="1" applyAlignment="1">
      <alignment horizontal="left" vertical="center" wrapText="1"/>
    </xf>
    <xf numFmtId="177" fontId="14" fillId="0" borderId="1" xfId="0" applyNumberFormat="1" applyFont="1" applyFill="1" applyBorder="1" applyAlignment="1">
      <alignment horizontal="center" vertical="center" wrapText="1"/>
    </xf>
    <xf numFmtId="177" fontId="15" fillId="0" borderId="1" xfId="0" applyNumberFormat="1" applyFont="1" applyFill="1" applyBorder="1" applyAlignment="1">
      <alignment horizontal="center" vertical="center" wrapText="1"/>
    </xf>
    <xf numFmtId="177" fontId="13" fillId="0" borderId="1" xfId="0" applyNumberFormat="1" applyFont="1" applyFill="1" applyBorder="1" applyAlignment="1">
      <alignment horizontal="left" vertical="center"/>
    </xf>
    <xf numFmtId="177" fontId="13" fillId="0" borderId="1" xfId="0" applyNumberFormat="1" applyFont="1" applyFill="1" applyBorder="1" applyAlignment="1">
      <alignment horizontal="center" vertical="center"/>
    </xf>
    <xf numFmtId="0" fontId="11" fillId="3" borderId="3" xfId="0" applyFont="1" applyFill="1" applyBorder="1" applyAlignment="1" applyProtection="1">
      <alignment horizontal="center" vertical="center" wrapText="1"/>
    </xf>
    <xf numFmtId="0" fontId="11" fillId="3" borderId="4"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wrapText="1"/>
    </xf>
    <xf numFmtId="0" fontId="12" fillId="3" borderId="1" xfId="0" applyFont="1" applyFill="1" applyBorder="1" applyAlignment="1" applyProtection="1">
      <alignment vertical="center" wrapText="1"/>
    </xf>
    <xf numFmtId="0" fontId="12" fillId="3" borderId="3" xfId="0" applyFont="1" applyFill="1" applyBorder="1" applyAlignment="1" applyProtection="1">
      <alignment vertical="center" wrapText="1"/>
    </xf>
    <xf numFmtId="177" fontId="7" fillId="5" borderId="3" xfId="0" applyNumberFormat="1" applyFont="1" applyFill="1" applyBorder="1" applyAlignment="1" applyProtection="1">
      <alignment horizontal="center" vertical="center" wrapText="1"/>
    </xf>
    <xf numFmtId="0" fontId="10" fillId="4" borderId="6" xfId="0" applyNumberFormat="1" applyFont="1" applyFill="1" applyBorder="1" applyAlignment="1" applyProtection="1">
      <alignment vertical="center" wrapText="1"/>
    </xf>
    <xf numFmtId="49"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3" xfId="0" applyFont="1" applyFill="1" applyBorder="1" applyAlignment="1">
      <alignment horizontal="left" vertical="center" wrapText="1"/>
    </xf>
    <xf numFmtId="49" fontId="16" fillId="0" borderId="1" xfId="0" applyNumberFormat="1" applyFont="1" applyFill="1" applyBorder="1" applyAlignment="1">
      <alignment horizontal="center" vertical="center" wrapText="1"/>
    </xf>
    <xf numFmtId="0" fontId="16"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8"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xf>
    <xf numFmtId="0" fontId="17" fillId="0" borderId="3" xfId="0" applyFont="1" applyFill="1" applyBorder="1" applyAlignment="1">
      <alignment horizontal="left" vertical="center" wrapText="1"/>
    </xf>
    <xf numFmtId="0" fontId="20" fillId="4" borderId="1" xfId="0" applyFont="1" applyFill="1" applyBorder="1" applyAlignment="1">
      <alignment vertical="center" wrapText="1"/>
    </xf>
    <xf numFmtId="0" fontId="13" fillId="0" borderId="3" xfId="0" applyFont="1" applyFill="1" applyBorder="1" applyAlignment="1">
      <alignment horizontal="left" vertical="center" wrapText="1"/>
    </xf>
    <xf numFmtId="179" fontId="15"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177" fontId="21" fillId="8" borderId="1" xfId="49" applyNumberFormat="1" applyFont="1" applyFill="1" applyBorder="1" applyAlignment="1">
      <alignment horizontal="center" vertical="center" wrapText="1"/>
    </xf>
    <xf numFmtId="177" fontId="13" fillId="0" borderId="1" xfId="0" applyNumberFormat="1" applyFont="1" applyFill="1" applyBorder="1" applyAlignment="1">
      <alignment vertical="center"/>
    </xf>
    <xf numFmtId="0" fontId="13" fillId="0" borderId="1" xfId="0" applyFont="1" applyFill="1" applyBorder="1" applyAlignment="1">
      <alignment vertical="center" wrapText="1"/>
    </xf>
    <xf numFmtId="0" fontId="13" fillId="0" borderId="3" xfId="0" applyFont="1" applyFill="1" applyBorder="1" applyAlignment="1">
      <alignment vertical="center" wrapText="1"/>
    </xf>
    <xf numFmtId="49"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3" fillId="0" borderId="1" xfId="0" applyFont="1" applyFill="1" applyBorder="1" applyAlignment="1">
      <alignment vertical="center"/>
    </xf>
    <xf numFmtId="0" fontId="13" fillId="0" borderId="3" xfId="0" applyFont="1" applyFill="1" applyBorder="1" applyAlignment="1">
      <alignment vertical="center"/>
    </xf>
    <xf numFmtId="0" fontId="14" fillId="0" borderId="3" xfId="0" applyNumberFormat="1" applyFont="1" applyFill="1" applyBorder="1" applyAlignment="1">
      <alignment vertical="center" wrapText="1"/>
    </xf>
    <xf numFmtId="0" fontId="14" fillId="0" borderId="1" xfId="0" applyNumberFormat="1" applyFont="1" applyFill="1" applyBorder="1" applyAlignment="1">
      <alignment vertical="center" wrapText="1"/>
    </xf>
    <xf numFmtId="0" fontId="14" fillId="0" borderId="3" xfId="0"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1" xfId="0" applyNumberFormat="1" applyFont="1" applyFill="1" applyBorder="1" applyAlignment="1">
      <alignment horizontal="left" vertical="center" wrapText="1"/>
    </xf>
    <xf numFmtId="0" fontId="16"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16" fillId="0" borderId="3" xfId="0" applyNumberFormat="1" applyFont="1" applyFill="1" applyBorder="1" applyAlignment="1">
      <alignment vertical="center" wrapText="1"/>
    </xf>
    <xf numFmtId="0" fontId="22" fillId="0" borderId="1" xfId="0" applyNumberFormat="1" applyFont="1" applyFill="1" applyBorder="1" applyAlignment="1">
      <alignment horizontal="left" vertical="center" wrapText="1"/>
    </xf>
    <xf numFmtId="0" fontId="23" fillId="0" borderId="1" xfId="0" applyNumberFormat="1" applyFont="1" applyFill="1" applyBorder="1" applyAlignment="1">
      <alignment horizontal="left" vertical="center" wrapText="1"/>
    </xf>
    <xf numFmtId="0" fontId="17" fillId="0" borderId="1" xfId="0" applyNumberFormat="1" applyFont="1" applyFill="1" applyBorder="1" applyAlignment="1">
      <alignment vertical="center" wrapText="1"/>
    </xf>
    <xf numFmtId="0" fontId="17" fillId="0" borderId="1" xfId="0" applyNumberFormat="1" applyFont="1" applyFill="1" applyBorder="1" applyAlignment="1">
      <alignment horizontal="left" vertical="center" wrapText="1"/>
    </xf>
    <xf numFmtId="177" fontId="16" fillId="0" borderId="1" xfId="0" applyNumberFormat="1" applyFont="1" applyFill="1" applyBorder="1" applyAlignment="1" applyProtection="1">
      <alignment horizontal="center" vertical="center" wrapText="1"/>
    </xf>
    <xf numFmtId="0" fontId="16" fillId="0" borderId="1" xfId="0" applyFont="1" applyFill="1" applyBorder="1" applyAlignment="1">
      <alignment vertical="center" wrapText="1"/>
    </xf>
    <xf numFmtId="0" fontId="16" fillId="0" borderId="1" xfId="0" applyFont="1" applyFill="1" applyBorder="1" applyAlignment="1">
      <alignment horizontal="center" vertical="center" wrapText="1"/>
    </xf>
    <xf numFmtId="177" fontId="6" fillId="5" borderId="1" xfId="0" applyNumberFormat="1" applyFont="1" applyFill="1" applyBorder="1" applyAlignment="1">
      <alignment horizontal="center" vertical="center"/>
    </xf>
    <xf numFmtId="0" fontId="10" fillId="0" borderId="1" xfId="0" applyNumberFormat="1" applyFont="1" applyFill="1" applyBorder="1" applyAlignment="1">
      <alignment vertical="center" wrapText="1"/>
    </xf>
    <xf numFmtId="0" fontId="10" fillId="0" borderId="3" xfId="0" applyNumberFormat="1" applyFont="1" applyFill="1" applyBorder="1" applyAlignment="1">
      <alignment vertical="center" wrapText="1"/>
    </xf>
    <xf numFmtId="0" fontId="16" fillId="0" borderId="3" xfId="0" applyFont="1" applyFill="1" applyBorder="1" applyAlignment="1">
      <alignment horizontal="left" vertical="center" wrapText="1"/>
    </xf>
    <xf numFmtId="0" fontId="11" fillId="3" borderId="3" xfId="0" applyNumberFormat="1" applyFont="1" applyFill="1" applyBorder="1" applyAlignment="1" applyProtection="1">
      <alignment horizontal="center" vertical="center" wrapText="1"/>
    </xf>
    <xf numFmtId="0" fontId="11" fillId="3" borderId="5" xfId="0" applyNumberFormat="1" applyFont="1" applyFill="1" applyBorder="1" applyAlignment="1" applyProtection="1">
      <alignment horizontal="center" vertical="center" wrapText="1"/>
    </xf>
    <xf numFmtId="0" fontId="12" fillId="3" borderId="1" xfId="0" applyNumberFormat="1" applyFont="1" applyFill="1" applyBorder="1" applyAlignment="1" applyProtection="1">
      <alignment vertical="center" wrapText="1"/>
    </xf>
    <xf numFmtId="0" fontId="12" fillId="3" borderId="3" xfId="0" applyNumberFormat="1" applyFont="1" applyFill="1" applyBorder="1" applyAlignment="1" applyProtection="1">
      <alignment vertical="center" wrapText="1"/>
    </xf>
    <xf numFmtId="177" fontId="24" fillId="5" borderId="1" xfId="0" applyNumberFormat="1" applyFont="1" applyFill="1" applyBorder="1" applyAlignment="1">
      <alignment horizontal="center" vertical="center"/>
    </xf>
    <xf numFmtId="177" fontId="5" fillId="0" borderId="1" xfId="0" applyNumberFormat="1" applyFont="1" applyFill="1" applyBorder="1" applyAlignment="1">
      <alignment vertical="center"/>
    </xf>
    <xf numFmtId="0" fontId="7" fillId="0" borderId="1" xfId="0" applyNumberFormat="1" applyFont="1" applyFill="1" applyBorder="1" applyAlignment="1">
      <alignment horizontal="center" vertical="center"/>
    </xf>
    <xf numFmtId="0" fontId="5" fillId="0" borderId="3" xfId="0" applyFont="1" applyFill="1" applyBorder="1" applyAlignment="1">
      <alignment vertical="center"/>
    </xf>
    <xf numFmtId="0" fontId="5" fillId="0" borderId="1" xfId="0" applyFont="1" applyFill="1" applyBorder="1" applyAlignment="1">
      <alignment vertical="center"/>
    </xf>
    <xf numFmtId="0" fontId="5" fillId="0" borderId="1" xfId="0" applyFont="1" applyFill="1" applyBorder="1" applyAlignment="1">
      <alignment horizontal="center" vertical="center"/>
    </xf>
    <xf numFmtId="0" fontId="13" fillId="0" borderId="1" xfId="50" applyFont="1" applyFill="1" applyBorder="1" applyAlignment="1">
      <alignment vertical="center" wrapText="1"/>
    </xf>
    <xf numFmtId="0" fontId="24" fillId="0" borderId="1" xfId="51" applyFont="1" applyFill="1" applyBorder="1" applyAlignment="1">
      <alignment horizontal="left" vertical="center" wrapText="1"/>
    </xf>
    <xf numFmtId="177" fontId="5" fillId="0" borderId="1" xfId="0" applyNumberFormat="1" applyFont="1" applyFill="1" applyBorder="1" applyAlignment="1">
      <alignment horizontal="center" vertical="center"/>
    </xf>
    <xf numFmtId="0" fontId="5" fillId="0" borderId="3" xfId="0" applyFont="1" applyFill="1" applyBorder="1" applyAlignment="1">
      <alignment vertical="center" wrapText="1"/>
    </xf>
    <xf numFmtId="0" fontId="15" fillId="3" borderId="1" xfId="0" applyFont="1" applyFill="1" applyBorder="1" applyAlignment="1">
      <alignment vertical="center"/>
    </xf>
    <xf numFmtId="0" fontId="15" fillId="3" borderId="3" xfId="0" applyFont="1" applyFill="1" applyBorder="1" applyAlignment="1">
      <alignment vertical="center"/>
    </xf>
    <xf numFmtId="177" fontId="13" fillId="0" borderId="3" xfId="0" applyNumberFormat="1" applyFont="1" applyFill="1" applyBorder="1" applyAlignment="1">
      <alignment horizontal="center" vertical="center"/>
    </xf>
    <xf numFmtId="0" fontId="25" fillId="0" borderId="3" xfId="0" applyFont="1" applyFill="1" applyBorder="1" applyAlignment="1">
      <alignment horizontal="left"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2" fillId="3" borderId="1" xfId="0" applyFont="1" applyFill="1" applyBorder="1" applyAlignment="1">
      <alignment vertical="center"/>
    </xf>
    <xf numFmtId="0" fontId="12" fillId="3" borderId="3" xfId="0" applyFont="1" applyFill="1" applyBorder="1" applyAlignment="1">
      <alignment vertical="center"/>
    </xf>
    <xf numFmtId="177" fontId="7" fillId="5" borderId="1" xfId="0" applyNumberFormat="1" applyFont="1" applyFill="1" applyBorder="1" applyAlignment="1">
      <alignment horizontal="center" vertical="center"/>
    </xf>
    <xf numFmtId="49" fontId="5" fillId="0" borderId="1" xfId="0" applyNumberFormat="1" applyFont="1" applyFill="1" applyBorder="1" applyAlignment="1">
      <alignment vertical="center" wrapText="1"/>
    </xf>
    <xf numFmtId="0" fontId="26" fillId="0" borderId="1" xfId="0" applyFont="1" applyFill="1" applyBorder="1" applyAlignment="1">
      <alignment horizontal="center" vertical="center" wrapText="1"/>
    </xf>
    <xf numFmtId="0" fontId="10" fillId="0" borderId="1" xfId="0" applyFont="1" applyFill="1" applyBorder="1" applyAlignment="1">
      <alignment vertical="center" wrapText="1"/>
    </xf>
    <xf numFmtId="49" fontId="26" fillId="0" borderId="1" xfId="0" applyNumberFormat="1" applyFont="1" applyFill="1" applyBorder="1" applyAlignment="1">
      <alignment horizontal="center" vertical="center" wrapText="1"/>
    </xf>
    <xf numFmtId="0" fontId="26"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1" fontId="10" fillId="0" borderId="1" xfId="0" applyNumberFormat="1" applyFont="1" applyFill="1" applyBorder="1" applyAlignment="1">
      <alignment horizontal="center" vertical="center"/>
    </xf>
    <xf numFmtId="49" fontId="5" fillId="0" borderId="1" xfId="0" applyNumberFormat="1" applyFont="1" applyFill="1" applyBorder="1" applyAlignment="1">
      <alignment vertical="center"/>
    </xf>
    <xf numFmtId="0" fontId="26" fillId="0" borderId="1" xfId="0" applyFont="1" applyFill="1" applyBorder="1" applyAlignment="1">
      <alignment horizontal="left" vertical="center"/>
    </xf>
    <xf numFmtId="1" fontId="7"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5" xfId="0" applyFont="1" applyFill="1" applyBorder="1" applyAlignment="1">
      <alignment horizontal="left" vertical="center" wrapText="1"/>
    </xf>
    <xf numFmtId="177" fontId="7" fillId="5" borderId="1" xfId="0" applyNumberFormat="1" applyFont="1" applyFill="1" applyBorder="1" applyAlignment="1" applyProtection="1">
      <alignment vertical="center" wrapText="1"/>
    </xf>
    <xf numFmtId="49" fontId="26" fillId="0" borderId="1" xfId="0" applyNumberFormat="1" applyFont="1" applyFill="1" applyBorder="1" applyAlignment="1">
      <alignment vertical="center"/>
    </xf>
    <xf numFmtId="177" fontId="4" fillId="0" borderId="1" xfId="0" applyNumberFormat="1" applyFont="1" applyFill="1" applyBorder="1" applyAlignment="1">
      <alignment vertical="center"/>
    </xf>
    <xf numFmtId="0" fontId="4" fillId="0" borderId="3" xfId="0" applyFont="1" applyFill="1" applyBorder="1" applyAlignment="1">
      <alignment horizontal="center" vertical="center"/>
    </xf>
    <xf numFmtId="2" fontId="13" fillId="0" borderId="3" xfId="0" applyNumberFormat="1" applyFont="1" applyFill="1" applyBorder="1" applyAlignment="1" applyProtection="1">
      <alignment horizontal="center" vertical="center" wrapText="1"/>
    </xf>
    <xf numFmtId="0" fontId="13" fillId="0" borderId="3" xfId="0" applyFont="1" applyFill="1" applyBorder="1" applyAlignment="1">
      <alignment horizontal="center" vertical="center" wrapText="1"/>
    </xf>
    <xf numFmtId="49" fontId="4" fillId="0" borderId="1" xfId="0" applyNumberFormat="1" applyFont="1" applyFill="1" applyBorder="1" applyAlignment="1">
      <alignment vertical="center"/>
    </xf>
    <xf numFmtId="0" fontId="3"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alignment horizontal="center" vertical="center"/>
    </xf>
    <xf numFmtId="0" fontId="4" fillId="0" borderId="3" xfId="0" applyFont="1" applyFill="1" applyBorder="1" applyAlignment="1">
      <alignment vertical="center"/>
    </xf>
    <xf numFmtId="49" fontId="4" fillId="0" borderId="1" xfId="0" applyNumberFormat="1" applyFont="1" applyFill="1" applyBorder="1" applyAlignment="1">
      <alignment horizontal="center" vertical="center"/>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5" fillId="4" borderId="1" xfId="0" applyFont="1" applyFill="1" applyBorder="1" applyAlignment="1">
      <alignment vertical="center" wrapText="1"/>
    </xf>
    <xf numFmtId="178" fontId="5" fillId="4" borderId="1" xfId="0" applyNumberFormat="1" applyFont="1" applyFill="1" applyBorder="1" applyAlignment="1">
      <alignment horizontal="center" vertical="center" wrapText="1"/>
    </xf>
    <xf numFmtId="0" fontId="10" fillId="3" borderId="1" xfId="0" applyFont="1" applyFill="1" applyBorder="1" applyAlignment="1" applyProtection="1">
      <alignment vertical="center" wrapText="1"/>
    </xf>
    <xf numFmtId="0" fontId="13" fillId="3" borderId="1" xfId="0" applyFont="1" applyFill="1" applyBorder="1" applyAlignment="1">
      <alignment vertical="center"/>
    </xf>
    <xf numFmtId="0" fontId="4" fillId="3" borderId="3" xfId="0" applyFont="1" applyFill="1" applyBorder="1" applyAlignment="1">
      <alignment vertical="center"/>
    </xf>
    <xf numFmtId="0" fontId="13" fillId="4" borderId="1" xfId="0" applyFont="1" applyFill="1" applyBorder="1" applyAlignment="1">
      <alignment vertical="center"/>
    </xf>
    <xf numFmtId="0" fontId="27" fillId="0" borderId="1" xfId="0" applyNumberFormat="1" applyFont="1" applyFill="1" applyBorder="1" applyAlignment="1">
      <alignment horizontal="center" vertical="center" wrapText="1"/>
    </xf>
    <xf numFmtId="177" fontId="5" fillId="5" borderId="1" xfId="0" applyNumberFormat="1" applyFont="1" applyFill="1" applyBorder="1" applyAlignment="1">
      <alignment horizontal="center" vertical="center" wrapText="1"/>
    </xf>
    <xf numFmtId="177" fontId="20" fillId="0" borderId="1" xfId="0" applyNumberFormat="1" applyFont="1" applyFill="1" applyBorder="1" applyAlignment="1">
      <alignment vertical="center"/>
    </xf>
    <xf numFmtId="0" fontId="20" fillId="0" borderId="3" xfId="0" applyFont="1" applyFill="1" applyBorder="1" applyAlignment="1">
      <alignment vertical="center"/>
    </xf>
    <xf numFmtId="0" fontId="4" fillId="0" borderId="3" xfId="0" applyFont="1" applyFill="1" applyBorder="1" applyAlignment="1">
      <alignment vertical="center" wrapText="1"/>
    </xf>
    <xf numFmtId="0" fontId="11" fillId="3" borderId="3" xfId="52" applyFont="1" applyFill="1" applyBorder="1" applyAlignment="1">
      <alignment horizontal="center" vertical="center" wrapText="1"/>
    </xf>
    <xf numFmtId="0" fontId="11" fillId="3" borderId="4" xfId="52" applyFont="1" applyFill="1" applyBorder="1" applyAlignment="1">
      <alignment horizontal="center" vertical="center" wrapText="1"/>
    </xf>
    <xf numFmtId="0" fontId="11" fillId="3" borderId="5" xfId="52" applyFont="1" applyFill="1" applyBorder="1" applyAlignment="1">
      <alignment horizontal="center" vertical="center" wrapText="1"/>
    </xf>
    <xf numFmtId="0" fontId="11" fillId="3" borderId="1" xfId="52" applyFont="1" applyFill="1" applyBorder="1" applyAlignment="1">
      <alignment vertical="center" wrapText="1"/>
    </xf>
    <xf numFmtId="0" fontId="11" fillId="3" borderId="3" xfId="52" applyFont="1" applyFill="1" applyBorder="1" applyAlignment="1">
      <alignment vertical="center" wrapText="1"/>
    </xf>
    <xf numFmtId="0" fontId="11" fillId="4" borderId="1" xfId="52" applyFont="1" applyFill="1" applyBorder="1" applyAlignment="1">
      <alignment vertical="center" wrapText="1"/>
    </xf>
    <xf numFmtId="177" fontId="7" fillId="5" borderId="1" xfId="52" applyNumberFormat="1" applyFont="1" applyFill="1" applyBorder="1" applyAlignment="1">
      <alignment vertical="center" wrapText="1"/>
    </xf>
    <xf numFmtId="0" fontId="10" fillId="0" borderId="1" xfId="0" applyFont="1" applyFill="1" applyBorder="1" applyAlignment="1">
      <alignment horizontal="left" vertical="center" wrapText="1"/>
    </xf>
    <xf numFmtId="49" fontId="10" fillId="0" borderId="1" xfId="52" applyNumberFormat="1" applyFont="1" applyFill="1" applyBorder="1" applyAlignment="1">
      <alignment horizontal="center" vertical="center" textRotation="255" wrapText="1"/>
    </xf>
    <xf numFmtId="0" fontId="10" fillId="0" borderId="1" xfId="52" applyFont="1" applyFill="1" applyBorder="1" applyAlignment="1">
      <alignment horizontal="center" vertical="center" wrapText="1"/>
    </xf>
    <xf numFmtId="49" fontId="13" fillId="0" borderId="1" xfId="52" applyNumberFormat="1" applyFont="1" applyFill="1" applyBorder="1" applyAlignment="1">
      <alignment horizontal="center" vertical="center" wrapText="1"/>
    </xf>
    <xf numFmtId="0" fontId="13" fillId="0" borderId="1" xfId="52" applyFont="1" applyFill="1" applyBorder="1" applyAlignment="1">
      <alignment vertical="center" wrapText="1"/>
    </xf>
    <xf numFmtId="0" fontId="13" fillId="0" borderId="3" xfId="52" applyFont="1" applyFill="1" applyBorder="1" applyAlignment="1">
      <alignment horizontal="left" vertical="center" wrapText="1"/>
    </xf>
    <xf numFmtId="0" fontId="10" fillId="0" borderId="1" xfId="52" applyFont="1" applyFill="1" applyBorder="1" applyAlignment="1">
      <alignment vertical="center" wrapText="1"/>
    </xf>
    <xf numFmtId="0" fontId="10" fillId="4" borderId="3" xfId="52" applyFont="1" applyFill="1" applyBorder="1" applyAlignment="1">
      <alignmen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4" xfId="49"/>
    <cellStyle name="常规 62 3" xfId="50"/>
    <cellStyle name="常规_Sheet1 3" xfId="51"/>
    <cellStyle name="常规_石材计算方法(08.9.1) 2" xfId="52"/>
    <cellStyle name="常规 2 10" xfId="53"/>
    <cellStyle name="千位分隔 12"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7.xml"/><Relationship Id="rId8" Type="http://schemas.openxmlformats.org/officeDocument/2006/relationships/externalLink" Target="externalLinks/externalLink6.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9.xml"/><Relationship Id="rId20" Type="http://schemas.openxmlformats.org/officeDocument/2006/relationships/externalLink" Target="externalLinks/externalLink18.xml"/><Relationship Id="rId2" Type="http://schemas.openxmlformats.org/officeDocument/2006/relationships/worksheet" Target="worksheets/sheet2.xml"/><Relationship Id="rId19" Type="http://schemas.openxmlformats.org/officeDocument/2006/relationships/externalLink" Target="externalLinks/externalLink17.xml"/><Relationship Id="rId18" Type="http://schemas.openxmlformats.org/officeDocument/2006/relationships/externalLink" Target="externalLinks/externalLink16.xml"/><Relationship Id="rId17" Type="http://schemas.openxmlformats.org/officeDocument/2006/relationships/externalLink" Target="externalLinks/externalLink15.xml"/><Relationship Id="rId16" Type="http://schemas.openxmlformats.org/officeDocument/2006/relationships/externalLink" Target="externalLinks/externalLink14.xml"/><Relationship Id="rId15" Type="http://schemas.openxmlformats.org/officeDocument/2006/relationships/externalLink" Target="externalLinks/externalLink13.xml"/><Relationship Id="rId14" Type="http://schemas.openxmlformats.org/officeDocument/2006/relationships/externalLink" Target="externalLinks/externalLink12.xml"/><Relationship Id="rId13" Type="http://schemas.openxmlformats.org/officeDocument/2006/relationships/externalLink" Target="externalLinks/externalLink11.xml"/><Relationship Id="rId12" Type="http://schemas.openxmlformats.org/officeDocument/2006/relationships/externalLink" Target="externalLinks/externalLink10.xml"/><Relationship Id="rId11" Type="http://schemas.openxmlformats.org/officeDocument/2006/relationships/externalLink" Target="externalLinks/externalLink9.xml"/><Relationship Id="rId10" Type="http://schemas.openxmlformats.org/officeDocument/2006/relationships/externalLink" Target="externalLinks/externalLink8.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108;&#24037;&#21306;&#32467;&#31639;\CHEN\&#20844;&#36335;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CHEN\&#20844;&#3633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1335;&#24196;\&#24635;&#21253;\34#&#22320;&#22359;&#31532;&#22235;&#36718;&#35758;&#26631;&#38382;&#21367;\&#22825;&#20803;&#38598;&#22242;\&#28165;&#21333;\&#19977;&#26631;&#27573;&#22303;&#24314;&#28165;&#21333;&#65288;3#4#&#22320;&#22359;&#65289;%20201112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server\I\CHINA\616\BQ-MEA\MC\HOUSE\REIN_HS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8738;&#23707;&#20844;&#21496;&#21512;&#32422;&#31649;&#29702;&#26631;&#20934;&#21270;\&#26631;&#20934;&#21270;02%20%20&#38738;&#23707;&#20844;&#21496;&#21512;&#32422;&#31649;&#29702;&#37096;%20&#30005;&#23376;&#25991;&#20214;&#23384;&#26723;&#30446;&#24405;&#25351;&#24341;\04&#25307;&#26631;&#12289;&#35780;&#26631;&#12289;&#23450;&#26631;&#25991;&#20214;\&#22269;&#38469;&#31038;&#21306;&#39033;&#30446;\&#24635;&#21253;\5#&#22320;&#22359;&#24037;&#31243;&#37327;&#28165;&#21333;\DY\&#25253;&#20215;&#34920;\&#25307;&#26631;&#25991;&#20214;&#21333;&#20215;&#34920;(1)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21508;&#22320;&#39033;&#30446;\&#37325;&#24198;64#\Documents%20and%20Settings\Administrator\&#26700;&#38754;\&#31639;&#37327;\&#25163;&#31295;\&#24037;&#31243;&#37327;&#35745;&#31639;&#27169;&#264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dministrator\Documents\WeChat%20Files\jumsit\FileStorage\File\2020-09\&#20013;&#21335;&#32622;&#22320;&#24191;&#20315;&#21306;&#22495;&#20315;&#23665;&#26032;&#22478;&#33655;&#23731;&#36335;&#65288;&#26149;&#39118;&#21517;&#33489;&#65289;&#39033;&#30446;&#31034;&#33539;&#21306;&#35013;&#20462;&#24037;&#31243;\&#19977;&#26631;&#27573;&#22303;&#24314;&#28165;&#21333;&#65288;9&#12289;12&#12289;13#&#27004;&#21450;&#24188;&#20799;&#22253;&#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HEN\&#20844;&#3633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6412;&#20844;&#21496;&#25104;&#26412;&#65288;&#29579;&#65289;\03-&#21508;&#39033;&#30446;&#30446;&#26631;&#25104;&#26412;\&#24050;&#19979;&#21457;&#30446;&#26631;&#25104;&#26412;\&#22025;&#20852;\&#22025;&#20852;&#26045;&#24037;&#22270;\&#27993;&#27743;&#26093;&#36745;\&#27010;&#39044;&#31639;\&#30446;&#26631;&#25104;&#26412;\&#22025;&#20852;&#30446;&#26631;&#25104;&#26412;\&#25105;&#30340;&#24037;&#20316;\&#39033;&#30446;&#25299;&#23637;\&#40857;&#21326;&#26032;&#22478;\&#40857;&#21326;&#26032;&#22478;200402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01%20&#21150;&#20844;&#25991;&#20214;\04-1%20&#20840;&#36807;&#31243;&#36319;&#36394;\01%20&#29233;&#29305;&#36335;&#20108;&#23618;&#25913;&#36896;\03%20&#25307;&#26631;&#28165;&#21333;\&#32534;&#21046;&#35828;&#26126;&#32534;&#21046;&#21442;&#32771;\&#29615;&#21271;&#33457;&#33489;&#21806;&#27004;&#22788;&#21450;&#26679;&#26495;&#25151;&#35013;&#20462;&#25307;&#26631;&#27491;&#24335;&#29256;&#28165;&#21333;20170904\RecoveredExternalLink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20013;&#28023;&#39033;&#30446;\B07&#39033;&#30446;\&#26045;&#24037;&#21512;&#21516;\&#26045;&#24037;&#21512;&#21516;(&#26242;&#23450;&#37327;&#29256;)\b%20&#24037;&#31243;&#37327;&#28165;&#21333;&#65288;II&#26631;&#27573;&#65289;&#26631;&#20934;&#26684;&#24335;&#29256;\&#22269;&#31038;5#\&#19968;&#26399;1#2#&#22320;&#22359;A&#26631;&#27573;&#65288;&#26263;&#28192;&#35199;&#65289;\18.&#21512;&#21516;&#24037;&#31243;&#37327;&#28165;&#21333;\18.1&#19968;&#26399;1#2#&#22320;&#22359;A&#26631;&#27573;&#65288;&#26263;&#28192;&#35199;&#65289;&#24635;&#25215;&#21253;&#24037;&#31243;&#21512;&#21516;&#28165;&#2133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21150;&#20844;&#25991;&#20214;\04-1%20&#20840;&#36807;&#31243;&#36319;&#36394;\01%20&#29233;&#29305;&#36335;&#20108;&#23618;&#25913;&#36896;\03%20&#25307;&#26631;&#28165;&#21333;\&#32534;&#21046;&#35828;&#26126;&#32534;&#21046;&#21442;&#32771;\&#29615;&#21271;&#33457;&#33489;&#21806;&#27004;&#22788;&#21450;&#26679;&#26495;&#25151;&#35013;&#20462;&#25307;&#26631;&#27491;&#24335;&#29256;&#28165;&#21333;20170904\RecoveredExternalLink2"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24658;&#22522;&#183;&#26093;&#36745;&#20013;&#24515;&#26376;&#25253;\&#34425;&#26725;2014-10&#26376;&#25253;\&#20043;&#21069;&#21488;&#36134;\&#24050;&#19979;&#21457;&#30446;&#26631;&#25104;&#26412;\&#22025;&#20852;\&#22025;&#20852;&#26045;&#24037;&#22270;\&#27993;&#27743;&#26093;&#36745;\&#27010;&#39044;&#31639;\&#30446;&#26631;&#25104;&#26412;\&#22025;&#20852;&#30446;&#26631;&#25104;&#26412;\Documents%20and%20Settings\wyj.GEMDALE\Local%20Settings\Temporary%20Internet%20Files\OLK2E\&#19996;&#33694;&#19996;&#22478;&#21306;&#26087;&#22478;&#25913;&#36896;&#27979;&#31639;1-1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24658;&#22522;&#183;&#26093;&#36745;&#20013;&#24515;&#26376;&#25253;\&#34425;&#26725;2014-10&#26376;&#25253;\&#20043;&#21069;&#21488;&#36134;\&#30334;&#24230;&#20113;\work\&#22025;&#23450;A14-1&#21830;&#20303;&#22320;&#22359;\&#26045;&#24037;&#22270;&#21512;&#32422;&#35268;&#21010;&#35843;&#25972;&#21160;&#24577;&#34920;\&#21160;&#24577;&#25104;&#26412;&#25511;&#21046;&#34920;&#65288;&#19978;&#28023;&#65289;-&#22025;&#23450;&#26093;&#36745;&#21326;&#24237;8.27.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CHEN\&#20844;&#36335;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38889;&#27427;&#27427;\&#39318;&#24320;&#21306;&#31934;&#35013;&#20462;\&#31934;&#35013;&#20462;&#32467;&#26524;2015.1.29\RecoveredExternalLink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Users\vinci\Desktop\&#24037;&#31243;&#37327;&#28165;&#21333;(0609&#25913;)\&#32501;&#38451;&#19975;&#36798;\RecoveredExternalLink15"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e\solution\beijing\bjhotel\PDS&#200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39033;&#30446;\&#24503;&#24030;&#19975;&#36798;\SOHO&#20869;&#35013;&#27979;&#31639;\&#26045;&#24037;&#22270;0620\SOHO&#20869;&#35013;\SOHO&#20869;&#35013;&#27979;&#31639;6.20\&#32473;&#25490;&#27700;&#24037;&#31243;&#3492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B3#楼措施汇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XLR_NoRangeSheet"/>
      <sheetName val="#REF!"/>
      <sheetName val="清单"/>
      <sheetName val="数据汇总表"/>
      <sheetName val="基础项目"/>
      <sheetName val="材料损耗(不打印)"/>
      <sheetName val="墙面工程"/>
      <sheetName val="主营业务成本明细表"/>
      <sheetName val="下拉菜单"/>
      <sheetName val="汇总表"/>
      <sheetName val="5期B栋会所装饰精装修"/>
      <sheetName val="eqpmad2"/>
      <sheetName val="百叶"/>
      <sheetName val="剁琥"/>
      <sheetName val="剁琥黄锈石"/>
      <sheetName val="光面"/>
      <sheetName val="荔枝"/>
      <sheetName val="荔枝黄锈石"/>
      <sheetName val="哑面"/>
      <sheetName val="材料表"/>
      <sheetName val="1"/>
      <sheetName val="1."/>
      <sheetName val="型材表"/>
      <sheetName val="XL4Poppy"/>
      <sheetName val="承台(砖模) "/>
      <sheetName val="柱"/>
      <sheetName val="型材线密度表"/>
      <sheetName val="工程量"/>
      <sheetName val="单位库"/>
      <sheetName val="土建工程综合单价表"/>
      <sheetName val="土建工程综合单价组价明细表"/>
      <sheetName val="施工参考单价报价表"/>
      <sheetName val="其它工作项目报价清单"/>
      <sheetName val="甲指乙供材料报价表"/>
      <sheetName val="B4零星"/>
      <sheetName val="园建计算表1梁工"/>
      <sheetName val="梁"/>
      <sheetName val="内围地梁钢筋说明"/>
      <sheetName val="设置"/>
      <sheetName val="辅助表(11大堂)"/>
      <sheetName val="Main"/>
      <sheetName val="保安视频监控系统"/>
      <sheetName val="内部主要成本"/>
      <sheetName val="CD-실적"/>
      <sheetName val="弱电"/>
      <sheetName val="过渡数据表"/>
      <sheetName val="门窗表 "/>
      <sheetName val="_x005f_x0000__x005f_x0000__x005f_x0000__x005f_x0000__x0"/>
      <sheetName val="进度款审核"/>
      <sheetName val="析-2"/>
      <sheetName val="封面"/>
      <sheetName val="人行道"/>
      <sheetName val="板房区目标成本"/>
      <sheetName val="分部分项工程量清单计价表"/>
      <sheetName val="室内精简装修计价清单"/>
      <sheetName val="单位"/>
      <sheetName val="POWER ASSUMPTIONS"/>
      <sheetName val="Sheet2"/>
      <sheetName val="单位工程费汇总表"/>
      <sheetName val="面积合计（藏）"/>
      <sheetName val="预制管桩"/>
      <sheetName val="2"/>
      <sheetName val="桩承台"/>
      <sheetName val="基础梁"/>
      <sheetName val="剪力墙"/>
      <sheetName val="楼板"/>
      <sheetName val="框架梁"/>
      <sheetName val="7"/>
      <sheetName val="屋架梁"/>
      <sheetName val="屋顶水池"/>
      <sheetName val="零星项目"/>
      <sheetName val="_x005f_x005f_x005f_x0000__x005f_x005f_x005f_x0000__x005"/>
      <sheetName val="总措施项目"/>
      <sheetName val="综合单价表"/>
      <sheetName val="建筑汇总表 "/>
      <sheetName val="文化石通花隔栅"/>
      <sheetName val="抛光砖窗台板"/>
      <sheetName val="门窗面积计量"/>
      <sheetName val="门槛"/>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卫生间"/>
      <sheetName val="1#2#楼梯"/>
      <sheetName val="3#楼梯 "/>
      <sheetName val="4#5#楼梯"/>
      <sheetName val="6#楼梯"/>
      <sheetName val="7#楼梯 "/>
      <sheetName val="8#楼梯"/>
      <sheetName val="楼梯二次装修合计"/>
      <sheetName val="卫生间墙面及地面防水相关工程量计算表"/>
      <sheetName val="防水"/>
      <sheetName val="女儿墙"/>
      <sheetName val="排水沟"/>
      <sheetName val="中庭栏杆"/>
      <sheetName val="内外墙挂网"/>
      <sheetName val="TC356天窗工程量 "/>
      <sheetName val="点支式采光顶棚工程量计算"/>
      <sheetName val="拉杆式采光棚"/>
      <sheetName val="幕墙门套及幕墙底部收口"/>
      <sheetName val="窗帘盒"/>
      <sheetName val="3"/>
      <sheetName val="8"/>
      <sheetName val="6"/>
      <sheetName val="4"/>
      <sheetName val="投标材料清单 "/>
      <sheetName val="5"/>
      <sheetName val="钢结构"/>
      <sheetName val="建筑汇总表"/>
      <sheetName val="地花 天花"/>
      <sheetName val="外墙块料"/>
      <sheetName val="外墙装饰工程量"/>
      <sheetName val="内、外墙挂网"/>
      <sheetName val="内墙抹灰、油漆、面砖"/>
      <sheetName val="内墙面"/>
      <sheetName val=" 柱"/>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栏杆"/>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名称"/>
      <sheetName val="anti-termite"/>
      <sheetName val="建筑面积 "/>
      <sheetName val="Elem Cost"/>
      <sheetName val="改加胶玻璃、室外栏杆"/>
      <sheetName val="工程量清单计价表"/>
      <sheetName val="增加项目（塔楼栏杆、雨篷、百叶窗、钢梁）"/>
      <sheetName val="19#楼(作废)"/>
      <sheetName val="门窗"/>
      <sheetName val="单价分析过程"/>
      <sheetName val="主要材料价格表 (2)"/>
      <sheetName val="工程清单"/>
      <sheetName val="主材表"/>
      <sheetName val="石材购买量统计"/>
      <sheetName val="给排水工程量计算书"/>
      <sheetName val="签证汇总表"/>
      <sheetName val="3#砌筑、工程"/>
      <sheetName val="钢筋设置"/>
      <sheetName val="T1T2T3T4门窗表"/>
      <sheetName val="职工花名册"/>
      <sheetName val="工程量清单"/>
      <sheetName val="_x005f_x005f_x005f_x005f_x005f_x005f_x005f_x0000__x005f"/>
      <sheetName val="31#楼（实）"/>
      <sheetName val="SW-TEO"/>
      <sheetName val="工程量清单(原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投标总结"/>
      <sheetName val="一号清单开办费"/>
      <sheetName val="非人防地库土建"/>
      <sheetName val="人防地库土建（暂定）"/>
      <sheetName val="Sheet4"/>
      <sheetName val="1#楼裙楼土建"/>
      <sheetName val="2#楼裙楼土建"/>
      <sheetName val="3#楼裙楼土建"/>
      <sheetName val="5#楼裙楼土建"/>
      <sheetName val="1#楼塔楼土建"/>
      <sheetName val="2#楼塔楼土建"/>
      <sheetName val="3#楼塔楼土建"/>
      <sheetName val="4#塔楼土建"/>
      <sheetName val="5#楼塔楼土建"/>
      <sheetName val="高层塔楼土建成本分析"/>
      <sheetName val="小高层塔楼土建成本分析"/>
      <sheetName val="裙楼土建成本分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REF!"/>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常用项目"/>
      <sheetName val="資料庫"/>
      <sheetName val="BQ2.10"/>
      <sheetName val="应供量清单"/>
      <sheetName val="预算200326"/>
      <sheetName val="1 开办费汇总"/>
      <sheetName val="Sheet4"/>
      <sheetName val="合格证 (2)"/>
      <sheetName val="明細表"/>
      <sheetName val="编制说明"/>
      <sheetName val="Wl. Fin."/>
      <sheetName val="21"/>
      <sheetName val="BQ2-住宅部分"/>
      <sheetName val="BQ2-商业街部分"/>
      <sheetName val="POWER ASSUMPTIONS"/>
      <sheetName val="3"/>
      <sheetName val="8"/>
      <sheetName val="GS"/>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Toolbox"/>
      <sheetName val="Main"/>
      <sheetName val="XLR_NoRangeSheet"/>
      <sheetName val="主要项目单价分析表 "/>
      <sheetName val="电线"/>
      <sheetName val="电缆"/>
      <sheetName val="中海城三期（01A及01E小学）"/>
      <sheetName val="中海城四期（02C）"/>
      <sheetName val="Open"/>
      <sheetName val="型材表"/>
      <sheetName val="材料单价表"/>
      <sheetName val="汇总表"/>
      <sheetName val="配置表"/>
      <sheetName val="地连墙"/>
      <sheetName val="Financ. Overview"/>
      <sheetName val="eqpmad2"/>
      <sheetName val="磨具余料庫"/>
      <sheetName val="二号清单"/>
      <sheetName val="面积表"/>
      <sheetName val="内围地梁钢筋说明"/>
      <sheetName val="4、综合单价分析表"/>
      <sheetName val="材料价格"/>
      <sheetName val="工程量A"/>
      <sheetName val="单价报价明细表"/>
      <sheetName val="报价明细表"/>
      <sheetName val="清单"/>
      <sheetName val="单位"/>
      <sheetName val="SW-TEO"/>
      <sheetName val="7"/>
      <sheetName val="投标材料清单 "/>
      <sheetName val="S1单价表"/>
      <sheetName val="BQ3-1"/>
      <sheetName val="BQ5.3-1"/>
      <sheetName val="2"/>
      <sheetName val="6"/>
      <sheetName val="面积合计（藏）"/>
      <sheetName val="4"/>
      <sheetName val="5"/>
      <sheetName val="1"/>
      <sheetName val="工程量"/>
      <sheetName val="1."/>
      <sheetName val="BQ4.1.1至4.1.4"/>
      <sheetName val="일반공사"/>
      <sheetName val="2012-9科目余额表 (6)"/>
      <sheetName val="科目余额表 (5)"/>
      <sheetName val="工料测量师报告"/>
      <sheetName val="7.1APP3"/>
      <sheetName val="G2TempSheet"/>
      <sheetName val="2.1设计部"/>
      <sheetName val="目录"/>
      <sheetName val="Sheet1 (11)"/>
      <sheetName val="电视监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裙楼机电"/>
      <sheetName val="塔楼电气"/>
      <sheetName val="塔楼给排水清单 "/>
      <sheetName val="塔楼采暖"/>
      <sheetName val="塔楼消防清单"/>
      <sheetName val="消防预埋清单"/>
      <sheetName val="弱电预留预埋清单"/>
      <sheetName val="防雷接地清单"/>
      <sheetName val="投标汇总 "/>
      <sheetName val="9#非桩基础 "/>
      <sheetName val="General"/>
      <sheetName val="Sheet1"/>
      <sheetName val="暗渠以西人防地库（暂定）"/>
      <sheetName val="投标总结"/>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工程量计算表"/>
      <sheetName val="单位库"/>
      <sheetName val="Sheet3"/>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投标总结"/>
      <sheetName val="一号清单开办费"/>
      <sheetName val="二标段地库土建"/>
      <sheetName val="点工单价表"/>
      <sheetName val="补充项目单价表"/>
      <sheetName val="高层塔楼土建成本分析"/>
      <sheetName val="小高层塔楼土建成本分析"/>
      <sheetName val="裙楼土建成本分析"/>
      <sheetName val="General"/>
      <sheetName val="Sheet1"/>
      <sheetName val="暗渠以西人防地库（暂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单位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编  制  说  明"/>
      <sheetName val="主要规划指标"/>
      <sheetName val="成本目标控制汇总表"/>
      <sheetName val="建安成本"/>
      <sheetName val="基础数据"/>
      <sheetName val="报价汇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封面"/>
      <sheetName val="说明"/>
      <sheetName val="主要规划指标"/>
      <sheetName val="建安成本"/>
      <sheetName val="21"/>
      <sheetName val="22"/>
      <sheetName val="24"/>
      <sheetName val="Module3"/>
      <sheetName val="Module2"/>
      <sheetName val="Module1"/>
      <sheetName val="B3#楼措施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投标总结"/>
      <sheetName val="一号清单开办费"/>
      <sheetName val="暗渠以西非人防地库"/>
      <sheetName val="暗渠以西人防地库（暂定）"/>
      <sheetName val="Sheet1"/>
      <sheetName val="1#楼裙楼土建"/>
      <sheetName val="2#楼裙楼土建"/>
      <sheetName val="5#楼裙楼土建"/>
      <sheetName val="9#楼裙楼土建"/>
      <sheetName val="12#裙楼土建"/>
      <sheetName val="1#楼塔楼土建"/>
      <sheetName val="2#楼塔楼土建"/>
      <sheetName val="5#楼塔楼土建"/>
      <sheetName val="6#塔楼土建"/>
      <sheetName val="9#塔楼土建"/>
      <sheetName val="12#塔楼土建"/>
      <sheetName val="高层塔楼土建成本分析"/>
      <sheetName val="裙楼土建成本分析"/>
      <sheetName val="塔楼给排水清单 "/>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封面"/>
      <sheetName val="编  制  说  明"/>
      <sheetName val="主要规划指标"/>
      <sheetName val="建安成本"/>
      <sheetName val="工程量计算表"/>
      <sheetName val="单位库"/>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封面"/>
      <sheetName val="说明"/>
      <sheetName val="主要规划指标"/>
      <sheetName val="建安成本"/>
      <sheetName val="基础数据"/>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acro1"/>
      <sheetName val="基础数据"/>
      <sheetName val="总投资"/>
      <sheetName val="差异分析表"/>
      <sheetName val="动态成本表"/>
      <sheetName val="无合同费用"/>
      <sheetName val="合同台帐"/>
      <sheetName val="现场签证单"/>
      <sheetName val="变更"/>
      <sheetName val="其他事项"/>
      <sheetName val="招投标"/>
      <sheetName val="结算"/>
      <sheetName val="核价表单"/>
      <sheetName val="指令联系单"/>
      <sheetName val="精装动态"/>
      <sheetName val="景观动态"/>
      <sheetName val="主要规划指标"/>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封面"/>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分部分项工程量清单计价表"/>
      <sheetName val="室内精简装修计价清单"/>
      <sheetName val="进度款审核"/>
      <sheetName val="XLR_NoRangeSheet"/>
      <sheetName val="析-2"/>
      <sheetName val="#REF!"/>
      <sheetName val="内围地梁钢筋说明"/>
      <sheetName val="板房区目标成本"/>
      <sheetName val="POWER ASSUMPTIONS"/>
      <sheetName val="搅拌桩计量"/>
      <sheetName val="旋挖桩混凝土量"/>
      <sheetName val="旋挖桩钢筋量"/>
      <sheetName val="人行道"/>
      <sheetName val="单位库"/>
      <sheetName val="单位"/>
      <sheetName val="eqpmad2"/>
      <sheetName val="Sheet2"/>
      <sheetName val="计算表"/>
      <sheetName val="03定额库"/>
      <sheetName val="94定额库"/>
      <sheetName val="清单库"/>
      <sheetName val="工程量汇总表"/>
      <sheetName val="计算簿"/>
      <sheetName val="汇总表"/>
      <sheetName val="LTM销售"/>
      <sheetName val="HTM销售"/>
      <sheetName val="生鲜销售"/>
      <sheetName val="门窗"/>
      <sheetName val="室内汇总"/>
      <sheetName val="雨水管网"/>
      <sheetName val="污水管网 "/>
      <sheetName val="-1层~26层地面"/>
      <sheetName val="C栋复式-1层~26层墙面"/>
      <sheetName val="弱电"/>
      <sheetName val="强电过路砼保护管 "/>
      <sheetName val="铺贴砂浆分析表"/>
      <sheetName val="编制说明"/>
      <sheetName val="汇总"/>
      <sheetName val="一层柱砼C40"/>
      <sheetName val="单位工程费汇总表"/>
      <sheetName val="二级成本动态表"/>
      <sheetName val="资料"/>
      <sheetName val="工程材料"/>
      <sheetName val="土建工程综合单价表"/>
      <sheetName val="土建工程综合单价组价明细表"/>
      <sheetName val="详图"/>
      <sheetName val="总工程量计算"/>
      <sheetName val="基础梁"/>
      <sheetName val="一期F区六标段工程进度款申请支付表"/>
      <sheetName val="一期F区块六标段本期完成工程造价确认汇总表"/>
      <sheetName val="一期F区六标段本期土建完成工程造价明细表"/>
      <sheetName val="一期F区六标段土建形象进度表"/>
      <sheetName val="一期F区六标段土建单体百分比组成"/>
      <sheetName val="一期F区六标段别墅区安装完成工程造价明细汇总表"/>
      <sheetName val="一期F区六标段别墅区安装形象进度表"/>
      <sheetName val="一期F区六标段高层及地下室安装完成工程造价明细表"/>
      <sheetName val="一期F区六标段高层及地下室安装形象进度表"/>
      <sheetName val="一期F区六标段室外安装完成工程造价确认表"/>
      <sheetName val="一期F区六标段未列项别墅区室外污水系统造价明细"/>
      <sheetName val="一期F区六标段未列项别墅区室外雨水系统造价明细"/>
      <sheetName val="一期F区六标段室外安装工程形象进度表"/>
      <sheetName val="一期F区六标段室外土建完成工程造价确认表"/>
      <sheetName val="一期F区六标段未列项别墅区室外土建造价明细表"/>
      <sheetName val="一期F区六标段室外土建工程形象进度表 "/>
      <sheetName val="3"/>
      <sheetName val="8"/>
      <sheetName val="2"/>
      <sheetName val="6"/>
      <sheetName val="面积合计（藏）"/>
      <sheetName val="7"/>
      <sheetName val="4"/>
      <sheetName val="投标材料清单 "/>
      <sheetName val="5"/>
      <sheetName val="1"/>
      <sheetName val="清单"/>
      <sheetName val="数据汇总表"/>
      <sheetName val="基础项目"/>
      <sheetName val="材料损耗(不打印)"/>
      <sheetName val="墙面工程"/>
      <sheetName val="材料表"/>
      <sheetName val="1."/>
      <sheetName val="型材表"/>
      <sheetName val="公共工程量底稿"/>
      <sheetName val="户型A工程量底稿"/>
      <sheetName val="户型A"/>
      <sheetName val="Parameters"/>
      <sheetName val="单位工程汇总表"/>
      <sheetName val="工程量清单计价表"/>
      <sheetName val="5期B栋会所装饰精装修"/>
      <sheetName val="主营业务成本明细表"/>
      <sheetName val="过渡数据表"/>
      <sheetName val="下拉菜单"/>
      <sheetName val="指标分摊"/>
      <sheetName val="规划指标"/>
      <sheetName val="工程库"/>
      <sheetName val="建筑汇总表 "/>
      <sheetName val="文化石通花隔栅"/>
      <sheetName val="抛光砖窗台板"/>
      <sheetName val="门窗面积计量"/>
      <sheetName val="门槛"/>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卫生间"/>
      <sheetName val="1#2#楼梯"/>
      <sheetName val="3#楼梯 "/>
      <sheetName val="4#5#楼梯"/>
      <sheetName val="6#楼梯"/>
      <sheetName val="7#楼梯 "/>
      <sheetName val="8#楼梯"/>
      <sheetName val="楼梯二次装修合计"/>
      <sheetName val="卫生间墙面及地面防水相关工程量计算表"/>
      <sheetName val="防水"/>
      <sheetName val="女儿墙"/>
      <sheetName val="排水沟"/>
      <sheetName val="中庭栏杆"/>
      <sheetName val="内外墙挂网"/>
      <sheetName val="TC356天窗工程量 "/>
      <sheetName val="点支式采光顶棚工程量计算"/>
      <sheetName val="拉杆式采光棚"/>
      <sheetName val="幕墙门套及幕墙底部收口"/>
      <sheetName val="窗帘盒"/>
      <sheetName val="301-6"/>
      <sheetName val="各截面长度"/>
      <sheetName val="XL4Poppy"/>
      <sheetName val="承台(砖模) "/>
      <sheetName val="柱"/>
      <sheetName val="施工参考单价报价表"/>
      <sheetName val="其它工作项目报价清单"/>
      <sheetName val="甲指乙供材料报价表"/>
      <sheetName val="型材线密度表"/>
      <sheetName val="园建计算表1梁工"/>
      <sheetName val="目录"/>
      <sheetName val="5201.2004"/>
      <sheetName val="门窗表"/>
      <sheetName val="厨厕通用"/>
      <sheetName val="地坪"/>
      <sheetName val="sk4"/>
      <sheetName val=""/>
      <sheetName val="防水指标"/>
      <sheetName val="基础数据"/>
      <sheetName val="设置"/>
      <sheetName val="B4零星"/>
      <sheetName val="KKKKKKKK"/>
      <sheetName val="Financ. Overview"/>
      <sheetName val="公路1"/>
      <sheetName val="建筑面积 "/>
      <sheetName val="热力"/>
      <sheetName val="凤凰城H区签证-徐静"/>
      <sheetName val="梁"/>
      <sheetName val="辅助表(11大堂)"/>
      <sheetName val="工程量"/>
      <sheetName val="Main"/>
      <sheetName val="（附表4-1）工程任务书1"/>
      <sheetName val="WWMSSKZN"/>
      <sheetName val="审核明细（第二期）"/>
      <sheetName val="_x005f_x005f_x005f_x0000__x005f_x005f_x005f_x0000__x005"/>
      <sheetName val="工程量清单全费用综合单价计价表"/>
      <sheetName val="材料价格表(立面）"/>
      <sheetName val="出図表"/>
      <sheetName val="实体项目(0上)"/>
      <sheetName val="措施项目(0上)"/>
      <sheetName val="钢筋(0上)"/>
      <sheetName val="实体项目(0下)"/>
      <sheetName val="外立面装修"/>
      <sheetName val="未列项目清单计价表(0上) "/>
      <sheetName val="措施项目(0下)"/>
      <sheetName val="钢筋(0下)"/>
      <sheetName val="钢结构"/>
      <sheetName val="建筑汇总表"/>
      <sheetName val="地花 天花"/>
      <sheetName val="外墙块料"/>
      <sheetName val="外墙装饰工程量"/>
      <sheetName val="内、外墙挂网"/>
      <sheetName val="内墙抹灰、油漆、面砖"/>
      <sheetName val="内墙面"/>
      <sheetName val=" 柱"/>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栏杆"/>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_x005f_x005f_x005f_x005f_x005f_x005f_x005f_x0000__x005f"/>
      <sheetName val="外立面"/>
      <sheetName val="东一一层方柱砼"/>
      <sheetName val="建筑面积及脚手架"/>
      <sheetName val="_x005f_x005f_x005f_x005f_x005f_x005f_x005f_x005f_x005f_x005f_"/>
      <sheetName val="_x005f_x0000__x005f_x0000__x005f_x0000__x005f_x0000__x0"/>
      <sheetName val="3.基础梁"/>
      <sheetName val="_x005f_x0000__x005f_x0000__x005"/>
      <sheetName val="_x005f_x005f_x005f_x0000__x005f"/>
      <sheetName val="录入参数"/>
      <sheetName val="_x005f_x0000__x005f"/>
      <sheetName val="_x005f_x005f_x005f_x005f_"/>
      <sheetName val="改加胶玻璃、室外栏杆"/>
      <sheetName val="单价表"/>
      <sheetName val="面积指标"/>
      <sheetName val="计算表1"/>
      <sheetName val="装饰部分"/>
      <sheetName val="C、D区室外铺贴工程量计算书"/>
      <sheetName val="B3#楼措施汇总"/>
      <sheetName val="H88清单编制"/>
      <sheetName val="25单位工程人材机汇总表"/>
      <sheetName val="25单位工程人材机汇总表2"/>
      <sheetName val="地面工程"/>
      <sheetName val="天棚工程"/>
      <sheetName val="块料名称"/>
      <sheetName val="Sheet1"/>
      <sheetName val="成本动态台帐"/>
      <sheetName val="成本测算"/>
      <sheetName val="非机动车道、车道"/>
      <sheetName val="date"/>
      <sheetName val="成本项目"/>
      <sheetName val="车库柱"/>
      <sheetName val="2001取费"/>
      <sheetName val="_x005f_x005f_"/>
      <sheetName val="计算稿"/>
      <sheetName val="输入栏"/>
      <sheetName val="点表"/>
      <sheetName val="分部分项工程量清单数据收集表"/>
      <sheetName val="五月份"/>
      <sheetName val="现场签证"/>
      <sheetName val="Elem Cost"/>
      <sheetName val="_x005f_x005f_x005f_x005f_x005f_x005f_x005f_x005f_"/>
      <sheetName val="Bill-2.1（1）"/>
      <sheetName val="General"/>
      <sheetName val="_"/>
      <sheetName val="电气工程计算表"/>
      <sheetName val="总措施项目"/>
      <sheetName val="综合单价表"/>
      <sheetName val="手工计算"/>
      <sheetName val="零星"/>
      <sheetName val="商业（3F）(含±0.00以下)"/>
      <sheetName val="YJ140(18F)(含±0.00以下)"/>
      <sheetName val="签证（27、28#）"/>
      <sheetName val="G51计算书"/>
      <sheetName val="G68计算书"/>
      <sheetName val="G60计算书"/>
      <sheetName val="G65计算书"/>
      <sheetName val="G61计算书"/>
      <sheetName val="13、14#计算书"/>
      <sheetName val="造价确认表"/>
      <sheetName val="34、H=500净间距130mm"/>
      <sheetName val="31、H=460mm"/>
      <sheetName val="名称"/>
      <sheetName val="anti-termite"/>
      <sheetName val="增加项目（塔楼栏杆、雨篷、百叶窗、钢梁）"/>
      <sheetName val="19#楼(作废)"/>
      <sheetName val="单价分析过程"/>
      <sheetName val="主要材料价格表 (2)"/>
      <sheetName val="#REF"/>
      <sheetName val="list"/>
      <sheetName val="Toolbox"/>
      <sheetName val="签证汇总表"/>
      <sheetName val="百叶"/>
      <sheetName val="剁琥"/>
      <sheetName val="剁琥黄锈石"/>
      <sheetName val="光面"/>
      <sheetName val="荔枝"/>
      <sheetName val="荔枝黄锈石"/>
      <sheetName val="哑面"/>
      <sheetName val="Aging Datasheet"/>
      <sheetName val="ECCS_1 DataSheet"/>
      <sheetName val="KPI Datasheet"/>
      <sheetName val="97取费(定额直接费)"/>
      <sheetName val="工程量清单(原价)"/>
      <sheetName val="Data"/>
      <sheetName val="按楼盘统计"/>
      <sheetName val="建筑面积及其它"/>
      <sheetName val="±0.00以下清单"/>
      <sheetName val="±0.0以下工程量"/>
      <sheetName val="±00以上墙抹灰"/>
      <sheetName val="北塔装饰工程量计算式"/>
      <sheetName val="실행철강하도"/>
      <sheetName val="A户型计算式"/>
      <sheetName val="表3"/>
      <sheetName val="电缆以及拉线井"/>
      <sheetName val="楼梯钢筋"/>
      <sheetName val="________"/>
      <sheetName val="_____x0"/>
      <sheetName val="保安视频监控系统"/>
      <sheetName val="内部主要成本"/>
      <sheetName val="CD-실적"/>
      <sheetName val="门窗表 "/>
      <sheetName val="零星构件"/>
      <sheetName val="数据库"/>
      <sheetName val="±0.00以下分部分项工程量清单与计价表"/>
      <sheetName val="(31)H28-c(简)(金属饰架)"/>
      <sheetName val="(13)H31-c(简)(900)(弧形凸肚)"/>
      <sheetName val="1、围墙5 H=2180mm@120"/>
      <sheetName val="5.不锈钢爬梯"/>
      <sheetName val="3、单飘花架2"/>
      <sheetName val="4、水池不锈钢箅子"/>
      <sheetName val="2、单飘花架1"/>
      <sheetName val="集水井排水箅子"/>
      <sheetName val="41.H=550"/>
      <sheetName val="147.上人孔盖800x800"/>
      <sheetName val="170、不锈钢靠墙扶手05ZJ401-27-1"/>
      <sheetName val="外墙变形缝 1.5厚铝合金板 "/>
      <sheetName val="工程量计算"/>
      <sheetName val="CUT1"/>
      <sheetName val="综合单价分析表"/>
      <sheetName val="A1、A2单价分析表"/>
      <sheetName val="A20单价分析表"/>
      <sheetName val="A20栋清单"/>
      <sheetName val="A21、A22单价分析表"/>
      <sheetName val="A21、22栋清单"/>
      <sheetName val="A3-4单价分析表"/>
      <sheetName val="A3门窗清单"/>
      <sheetName val="A4门窗清单"/>
      <sheetName val="B1、B2、B4-B7栋清单"/>
      <sheetName val="B1、B2、B4-B7单价分析表"/>
      <sheetName val="B1幕墙价分析表"/>
      <sheetName val="B1幕墙"/>
      <sheetName val="B2幕墙价分析表"/>
      <sheetName val="B2幕墙"/>
      <sheetName val="B3幕墙价分析表"/>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售楼部单价分析表"/>
      <sheetName val="售楼部"/>
      <sheetName val="小学单价分析表"/>
      <sheetName val="小学"/>
      <sheetName val="幼儿园单价分析表"/>
      <sheetName val="幼儿园"/>
      <sheetName val="主材表"/>
      <sheetName val="板工程量计算"/>
      <sheetName val="平窗"/>
      <sheetName val="主材"/>
      <sheetName val="葛安民(设计员)"/>
      <sheetName val="价格表"/>
      <sheetName val="工程量计算书"/>
      <sheetName val="付款进度表"/>
      <sheetName val="主要材料调差表"/>
      <sheetName val="除块料石材以外工程分部分项计价表"/>
      <sheetName val="石材分部分项计价表"/>
      <sheetName val="室内块料分部分项计价表"/>
      <sheetName val="A户型清单"/>
      <sheetName val="B户型清单"/>
      <sheetName val="E户型清单"/>
      <sheetName val="F户型清单"/>
      <sheetName val="G户型清单"/>
      <sheetName val="H户型清单"/>
      <sheetName val="措施项目费分析表"/>
      <sheetName val="装饰汇总"/>
      <sheetName val="SW-TEO"/>
      <sheetName val="报价汇总"/>
      <sheetName val="赶工费收入"/>
      <sheetName val="11年计划"/>
      <sheetName val="字段"/>
      <sheetName val="用量计算"/>
      <sheetName val="常用项目"/>
      <sheetName val="售楼部幕墙清单"/>
      <sheetName val="外墙保温涂料"/>
      <sheetName val="A1、A2栏杆和百叶清单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eqpmad2"/>
      <sheetName val="UFPrn20020708110604"/>
      <sheetName val=""/>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POWER ASSUMPTIONS"/>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B"/>
      <sheetName val="趋势图"/>
      <sheetName val="折旧测试"/>
      <sheetName val="XL4Poppy"/>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企业表一"/>
      <sheetName val="M-5C"/>
      <sheetName val="M-5A"/>
      <sheetName val="Sheet1"/>
      <sheetName val="应收账款明细表"/>
      <sheetName val="应付－武汉运盛钢铁贸易有限公司"/>
      <sheetName val="襄樊鼎益机电有限公司"/>
      <sheetName val="会计科目"/>
      <sheetName val="盈余公积 （合并)"/>
      <sheetName val="包增减变动"/>
      <sheetName val="#REF!"/>
      <sheetName val="CF"/>
      <sheetName val="长期股权投资"/>
      <sheetName val="封面"/>
      <sheetName val="总分类账"/>
      <sheetName val="固定资产明细表"/>
      <sheetName val="固及累及减值"/>
      <sheetName val="56261盘点"/>
      <sheetName val="货币资金"/>
      <sheetName val="其他应收明细表"/>
      <sheetName val="在建工程审计说明"/>
      <sheetName val="124301 查询"/>
      <sheetName val="经贸库存商品"/>
      <sheetName val="户名"/>
      <sheetName val="inf"/>
      <sheetName val="Third party"/>
      <sheetName val="82130其他"/>
      <sheetName val="表4-12"/>
      <sheetName val="核算项目余额表"/>
      <sheetName val="G.1R-Shou COP Gf"/>
      <sheetName val="KKKKKKKK"/>
      <sheetName val="SMCTSSP2"/>
      <sheetName val="Market share"/>
      <sheetName val="fs(for Consol)"/>
      <sheetName val="10-2.固定资产处置表"/>
      <sheetName val="资产表横向"/>
      <sheetName val="目录"/>
      <sheetName val="期初调整"/>
      <sheetName val="平均年限法(基于入账原值和入账预计使用期间)"/>
      <sheetName val="SW-TEO"/>
      <sheetName val="Open"/>
      <sheetName val="现金流量表2"/>
      <sheetName val="现金流量表3"/>
      <sheetName val="00000000"/>
      <sheetName val="Sheet2"/>
      <sheetName val="2002年3月份"/>
      <sheetName val="2004年4月份"/>
      <sheetName val="Sheet3"/>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3"/>
      <sheetName val="表4"/>
      <sheetName val="表5"/>
      <sheetName val="表6"/>
      <sheetName val="表7"/>
      <sheetName val="表8"/>
      <sheetName val="表9"/>
      <sheetName val="表10"/>
      <sheetName val="表11"/>
      <sheetName val="表12"/>
      <sheetName val="表13"/>
      <sheetName val="表14"/>
      <sheetName val="表14 -1"/>
      <sheetName val="表14 -2"/>
      <sheetName val="表15"/>
      <sheetName val="仓储"/>
      <sheetName val="维修"/>
      <sheetName val="蒸汽"/>
      <sheetName val="供电"/>
      <sheetName val="污水"/>
      <sheetName val=" 能源"/>
      <sheetName val="供水"/>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固定资产折旧测试"/>
      <sheetName val="Main"/>
      <sheetName val="__礫剑干啤（累"/>
      <sheetName val="ÏÖ½ðÁ÷Á¿±í2"/>
      <sheetName val="ÏÖ½ðÁ÷Á¿±í3"/>
      <sheetName val="2002Äê3ÔÂ·Ý"/>
      <sheetName val="2004Äê4ÔÂ·Ý"/>
      <sheetName val="±í1(»ã×Ü£©"/>
      <sheetName val="±í1 ÖÊ¹Ü²¿(14)"/>
      <sheetName val="±í1²ÆÎñ²¿(16) "/>
      <sheetName val="±í1ÐÐÕþ²¿(16)"/>
      <sheetName val="±í1²É¹º²¿(3)"/>
      <sheetName val="±í1Éè±¸²¿(9)"/>
      <sheetName val="±í1Éú²ú²¿(7)"/>
      <sheetName val="×Ü¾­°ì"/>
      <sheetName val="±í2"/>
      <sheetName val="±í1"/>
      <sheetName val="±í3"/>
      <sheetName val="±í4"/>
      <sheetName val="±í5"/>
      <sheetName val="±í6"/>
      <sheetName val="±í7"/>
      <sheetName val="±í8"/>
      <sheetName val="±í9"/>
      <sheetName val="±í10"/>
      <sheetName val="±í11"/>
      <sheetName val="±í12"/>
      <sheetName val="±í13"/>
      <sheetName val="±í14"/>
      <sheetName val="±í14 -1"/>
      <sheetName val="±í14 -2"/>
      <sheetName val="±í15"/>
      <sheetName val="²Ö´¢"/>
      <sheetName val="Î¬ÐÞ"/>
      <sheetName val="ÕôÆû"/>
      <sheetName val="¹©µç"/>
      <sheetName val="ÎÛË®"/>
      <sheetName val=" ÄÜÔ´"/>
      <sheetName val="¹©Ë®"/>
      <sheetName val="¿ÕÑ¹"/>
      <sheetName val="ÖÆãö"/>
      <sheetName val="¶þÑõ»¯Ì¼"/>
      <sheetName val="ÄðÔì"/>
      <sheetName val="°üÒ»"/>
      <sheetName val="°ü¶þ"/>
      <sheetName val="°üÈý"/>
      <sheetName val="×Ü¹«Ë¾"/>
      <sheetName val="ÂÌÒ¶24"/>
      <sheetName val="ÂÌÒ¶12"/>
      <sheetName val="ÂÌÒ¶10"/>
      <sheetName val="ÇåË¬ÂÌÒ¶24"/>
      <sheetName val="ÇåË¬ÂÌÒ¶12"/>
      <sheetName val="É¢Ôú¾Æ"/>
      <sheetName val="µ¥Î»³É±¾"/>
      <sheetName val="__µ_½£¸ÉÆ¡£¨ÀÛ"/>
      <sheetName val="¹Ì¶¨×Ê²úÕÛ¾É²âÊÔ"/>
      <sheetName val="Links"/>
      <sheetName val="Lead"/>
      <sheetName val="___e¨¢¡Â¨¢_¡À¨ª2"/>
      <sheetName val="___e¨¢¡Â¨¢_¡À¨ª3"/>
      <sheetName val="2002_¨º3__¡¤Y"/>
      <sheetName val="2004_¨º4__¡¤Y"/>
      <sheetName val="¡À¨ª1(__¡Á¨¹¡ê_"/>
      <sheetName val="¡À¨ª1 _¨º1¨¹2_(14)"/>
      <sheetName val="¡À¨ª12___2_(16) "/>
      <sheetName val="¡À¨ª1DD_t2_(16)"/>
      <sheetName val="¡À¨ª12¨¦1o2_(3)"/>
      <sheetName val="¡À¨ª1¨¦¨¨¡À_2_(9)"/>
      <sheetName val="¡À¨ª1¨¦¨²2¨²2_(7)"/>
      <sheetName val="¡Á¨¹_-¡ã¨¬"/>
      <sheetName val="¡À¨ª2"/>
      <sheetName val="¡À¨ª1"/>
      <sheetName val="¡À¨ª3"/>
      <sheetName val="¡À¨ª4"/>
      <sheetName val="¡À¨ª5"/>
      <sheetName val="¡À¨ª6"/>
      <sheetName val="¡À¨ª7"/>
      <sheetName val="¡À¨ª8"/>
      <sheetName val="¡À¨ª9"/>
      <sheetName val="¡À¨ª10"/>
      <sheetName val="¡À¨ª11"/>
      <sheetName val="¡À¨ª12"/>
      <sheetName val="¡À¨ª13"/>
      <sheetName val="¡À¨ª14"/>
      <sheetName val="¡À¨ª14 -1"/>
      <sheetName val="¡À¨ª14 -2"/>
      <sheetName val="¡À¨ª15"/>
      <sheetName val="2_¡ä¡é"/>
      <sheetName val="__DT"/>
      <sheetName val="____"/>
      <sheetName val="1_¦Ì_"/>
      <sheetName val=" _¨¹_¡ä"/>
      <sheetName val="1___"/>
      <sheetName val="___1"/>
      <sheetName val="_t___¡¥¨¬_"/>
      <sheetName val="_e_¨¬"/>
      <sheetName val="¡ã¨¹¨°_"/>
      <sheetName val="¡ã¨¹_t"/>
      <sheetName val="¡ã¨¹¨¨y"/>
      <sheetName val="¡Á¨¹1___"/>
      <sheetName val="_¨¬¨°_24"/>
      <sheetName val="_¨¬¨°_12"/>
      <sheetName val="_¨¬¨°_10"/>
      <sheetName val="_____¨¬¨°_24"/>
      <sheetName val="_____¨¬¨°_12"/>
      <sheetName val="¨¦¡é_¨²__"/>
      <sheetName val="¦Ì£¤__3¨¦¡À_"/>
      <sheetName val="__¦Ì__¡ê_¨¦__¡ê¡§¨¤_"/>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1¨¬_¡§¡Á¨º2¨²___¨¦2a¨º_"/>
      <sheetName val="SW_TEO"/>
      <sheetName val="00000ppy"/>
      <sheetName val="财务成本"/>
      <sheetName val="变更项汇总表 (2)"/>
      <sheetName val="按投标图部分"/>
      <sheetName val="按施工图"/>
      <sheetName val="填报指引"/>
      <sheetName val="S1单价表"/>
      <sheetName val="S2地下室"/>
      <sheetName val="S3旅游餐饮街"/>
      <sheetName val="S4写字楼"/>
      <sheetName val="S5独立商业楼"/>
      <sheetName val="S6公寓楼"/>
      <sheetName val="组价明细表"/>
      <sheetName val="S15会所"/>
      <sheetName val="招标清单面积表"/>
      <sheetName val="措施费"/>
      <sheetName val="T型房"/>
      <sheetName val="电梯厅"/>
      <sheetName val="走廊"/>
      <sheetName val="隔墙"/>
      <sheetName val="家具"/>
      <sheetName val="灯具"/>
      <sheetName val="装饰品"/>
      <sheetName val="绵阳万达公共区域工程量清单 修正版3"/>
      <sheetName val="RecoveredExternalLink16"/>
      <sheetName val="RecoveredExternalLink13"/>
      <sheetName val="RecoveredExternalLink15"/>
      <sheetName val="清单总目录"/>
      <sheetName val="投标总价表"/>
      <sheetName val="措施项目清单计价表"/>
      <sheetName val="其它项目清单计价汇总表"/>
      <sheetName val="材料暂估价表"/>
      <sheetName val="专业工程暂估价表"/>
      <sheetName val="总承包服务费计价表"/>
      <sheetName val="1∽9#土建工程量清单计价汇总表"/>
      <sheetName val="大商业部分清单"/>
      <sheetName val="酒店部分清单"/>
      <sheetName val="土建工程综合单价表"/>
      <sheetName val="土建工程综合单价组价明细表"/>
      <sheetName val="投标总价"/>
      <sheetName val="总价汇总表"/>
      <sheetName val="分部分项汇总表"/>
      <sheetName val="措施项目清单"/>
      <sheetName val="门窗工程清单分部分项计价表"/>
      <sheetName val="门窗工程清单分部分项计价表 (2)"/>
      <sheetName val="综合单价明细表5.0"/>
      <sheetName val="5.1综合单价组价分析详表"/>
      <sheetName val="5.2 型材单价分析表"/>
      <sheetName val="5.3 玻璃单价分析表"/>
      <sheetName val="5.4 五金单价分析表"/>
      <sheetName val="6.0 铝型材米重一览表"/>
      <sheetName val="7.0 主要材料一览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汇总表"/>
      <sheetName val="措施费"/>
      <sheetName val="T型房"/>
      <sheetName val="电梯厅"/>
      <sheetName val="走廊"/>
      <sheetName val="隔墙"/>
      <sheetName val="家具"/>
      <sheetName val="灯具"/>
      <sheetName val="装饰品"/>
      <sheetName val="Sheet1"/>
      <sheetName val="绵阳万达公共区域工程量清单 修正版3"/>
      <sheetName val="RecoveredExternalLink16"/>
      <sheetName val="RecoveredExternalLink13"/>
      <sheetName val="RecoveredExternalLink15"/>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基本设置"/>
      <sheetName val="数据"/>
      <sheetName val="水平区"/>
      <sheetName val="子管理区"/>
      <sheetName val="干线区"/>
      <sheetName val="主管理区"/>
      <sheetName val="设备清单"/>
      <sheetName val="设备清单 (2)"/>
      <sheetName val="工具"/>
      <sheetName val="Macro1"/>
      <sheetName val="Macro3"/>
      <sheetName val="eqpmad2"/>
      <sheetName val="Financ. Overview"/>
      <sheetName val="Toolbox"/>
      <sheetName val="SW-TEO"/>
      <sheetName val="temp"/>
      <sheetName val="#REF!"/>
      <sheetName val="2.1设计部"/>
      <sheetName val="汇总"/>
      <sheetName val="POWER ASSUMPTIONS"/>
      <sheetName val="Open"/>
      <sheetName val="07水"/>
      <sheetName val="主要规划指标"/>
      <sheetName val="营业收入和税金及附加估算表"/>
      <sheetName val="XL4Poppy"/>
      <sheetName val="单价分析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给排水设置"/>
      <sheetName val="给排水计算"/>
      <sheetName val="给排水汇总"/>
      <sheetName val="#REF!"/>
      <sheetName val="SW-TEO"/>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J278"/>
  <sheetViews>
    <sheetView tabSelected="1" view="pageBreakPreview" zoomScale="80" zoomScaleNormal="66" workbookViewId="0">
      <selection activeCell="M160" sqref="M160"/>
    </sheetView>
  </sheetViews>
  <sheetFormatPr defaultColWidth="9" defaultRowHeight="16.5"/>
  <cols>
    <col min="1" max="1" width="5.12727272727273" style="16" customWidth="1"/>
    <col min="2" max="2" width="18.5" style="17" customWidth="1"/>
    <col min="3" max="3" width="20.8727272727273" style="17" customWidth="1"/>
    <col min="4" max="4" width="12.3727272727273" style="17" customWidth="1" outlineLevel="1"/>
    <col min="5" max="5" width="27.2545454545455" style="17" customWidth="1" outlineLevel="1"/>
    <col min="6" max="6" width="8.12727272727273" style="18" customWidth="1"/>
    <col min="7" max="8" width="11.5" style="19" customWidth="1" outlineLevel="1"/>
    <col min="9" max="10" width="9" style="19" customWidth="1" outlineLevel="1"/>
    <col min="11" max="11" width="20.6272727272727" style="19" customWidth="1" outlineLevel="1"/>
    <col min="12" max="12" width="13.7545454545455" style="20" customWidth="1"/>
    <col min="13" max="13" width="18.6272727272727" style="17" customWidth="1"/>
    <col min="14" max="17" width="11.5" style="21" customWidth="1"/>
    <col min="18" max="18" width="10.6272727272727" style="22" customWidth="1"/>
    <col min="19" max="19" width="21.5" style="23" customWidth="1"/>
    <col min="20" max="16384" width="9" style="17"/>
  </cols>
  <sheetData>
    <row r="1" ht="68" customHeight="1" spans="1:62">
      <c r="A1" s="24" t="s">
        <v>0</v>
      </c>
      <c r="B1" s="24"/>
      <c r="C1" s="24"/>
      <c r="D1" s="24"/>
      <c r="E1" s="24"/>
      <c r="F1" s="24"/>
      <c r="G1" s="24"/>
      <c r="H1" s="24"/>
      <c r="I1" s="24"/>
      <c r="J1" s="24"/>
      <c r="K1" s="24"/>
      <c r="L1" s="24"/>
      <c r="M1" s="24"/>
      <c r="N1" s="24"/>
      <c r="O1" s="24"/>
      <c r="P1" s="24"/>
      <c r="Q1" s="24"/>
      <c r="R1" s="24"/>
      <c r="S1" s="24"/>
    </row>
    <row r="2" ht="39" customHeight="1" spans="1:62">
      <c r="A2" s="25"/>
      <c r="B2" s="25"/>
      <c r="C2" s="25"/>
      <c r="D2" s="25"/>
      <c r="E2" s="25"/>
      <c r="F2" s="25"/>
      <c r="G2" s="26" t="s">
        <v>1</v>
      </c>
      <c r="H2" s="26"/>
      <c r="I2" s="26"/>
      <c r="J2" s="26"/>
      <c r="K2" s="26"/>
      <c r="L2" s="26"/>
      <c r="M2" s="26"/>
      <c r="N2" s="27" t="s">
        <v>2</v>
      </c>
      <c r="O2" s="28"/>
      <c r="P2" s="28"/>
      <c r="Q2" s="29"/>
      <c r="R2" s="30"/>
    </row>
    <row r="3" customHeight="1" spans="1:62">
      <c r="A3" s="31" t="s">
        <v>3</v>
      </c>
      <c r="B3" s="32" t="s">
        <v>4</v>
      </c>
      <c r="C3" s="32" t="s">
        <v>5</v>
      </c>
      <c r="D3" s="33" t="s">
        <v>6</v>
      </c>
      <c r="E3" s="33" t="s">
        <v>7</v>
      </c>
      <c r="F3" s="32" t="s">
        <v>8</v>
      </c>
      <c r="G3" s="34"/>
      <c r="H3" s="34"/>
      <c r="I3" s="34"/>
      <c r="J3" s="34"/>
      <c r="K3" s="35" t="s">
        <v>9</v>
      </c>
      <c r="L3" s="36" t="s">
        <v>10</v>
      </c>
      <c r="M3" s="37" t="s">
        <v>11</v>
      </c>
      <c r="N3" s="38"/>
      <c r="O3" s="39"/>
      <c r="P3" s="39"/>
      <c r="Q3" s="40"/>
      <c r="R3" s="41" t="s">
        <v>12</v>
      </c>
      <c r="S3" s="42" t="s">
        <v>11</v>
      </c>
    </row>
    <row r="4" ht="33" customHeight="1" spans="1:62">
      <c r="A4" s="31"/>
      <c r="B4" s="32"/>
      <c r="C4" s="32"/>
      <c r="D4" s="33"/>
      <c r="E4" s="33"/>
      <c r="F4" s="32"/>
      <c r="G4" s="35" t="s">
        <v>13</v>
      </c>
      <c r="H4" s="35" t="s">
        <v>14</v>
      </c>
      <c r="I4" s="35" t="s">
        <v>15</v>
      </c>
      <c r="J4" s="35" t="s">
        <v>16</v>
      </c>
      <c r="K4" s="35"/>
      <c r="L4" s="36"/>
      <c r="M4" s="37"/>
      <c r="N4" s="35" t="s">
        <v>13</v>
      </c>
      <c r="O4" s="35" t="s">
        <v>14</v>
      </c>
      <c r="P4" s="35" t="s">
        <v>15</v>
      </c>
      <c r="Q4" s="35" t="s">
        <v>17</v>
      </c>
      <c r="R4" s="41"/>
      <c r="S4" s="42"/>
    </row>
    <row r="5" ht="13.5" customHeight="1" spans="1:62">
      <c r="A5" s="31"/>
      <c r="B5" s="32"/>
      <c r="C5" s="32"/>
      <c r="D5" s="33"/>
      <c r="E5" s="33"/>
      <c r="F5" s="32"/>
      <c r="G5" s="35"/>
      <c r="H5" s="35"/>
      <c r="I5" s="35"/>
      <c r="J5" s="35"/>
      <c r="K5" s="35"/>
      <c r="L5" s="36"/>
      <c r="M5" s="37"/>
      <c r="N5" s="35"/>
      <c r="O5" s="35"/>
      <c r="P5" s="35"/>
      <c r="Q5" s="35"/>
      <c r="R5" s="41"/>
      <c r="S5" s="42"/>
    </row>
    <row r="6" s="14" customFormat="1" ht="22.5" customHeight="1" spans="1:62">
      <c r="A6" s="43" t="s">
        <v>18</v>
      </c>
      <c r="B6" s="43"/>
      <c r="C6" s="43"/>
      <c r="D6" s="44"/>
      <c r="E6" s="44"/>
      <c r="F6" s="44"/>
      <c r="G6" s="44"/>
      <c r="H6" s="44"/>
      <c r="I6" s="44"/>
      <c r="J6" s="44"/>
      <c r="K6" s="44"/>
      <c r="L6" s="44"/>
      <c r="M6" s="44"/>
      <c r="N6" s="45"/>
      <c r="O6" s="45"/>
      <c r="P6" s="45"/>
      <c r="Q6" s="45"/>
      <c r="R6" s="46"/>
      <c r="S6" s="4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row>
    <row r="7" ht="26" spans="1:62">
      <c r="A7" s="48" t="s">
        <v>19</v>
      </c>
      <c r="B7" s="49" t="s">
        <v>20</v>
      </c>
      <c r="C7" s="50" t="s">
        <v>21</v>
      </c>
      <c r="D7" s="51" t="s">
        <v>22</v>
      </c>
      <c r="E7" s="52" t="s">
        <v>23</v>
      </c>
      <c r="F7" s="53" t="s">
        <v>24</v>
      </c>
      <c r="G7" s="54">
        <v>15.147</v>
      </c>
      <c r="H7" s="54"/>
      <c r="I7" s="55">
        <v>10.598921432</v>
      </c>
      <c r="J7" s="54">
        <f>G7+H7+I7</f>
        <v>25.745921432</v>
      </c>
      <c r="K7" s="54">
        <f>J7*0.2</f>
        <v>5.1491842864</v>
      </c>
      <c r="L7" s="32">
        <f>ROUND((J7+K7),0)</f>
        <v>31</v>
      </c>
      <c r="M7" s="56"/>
      <c r="N7" s="57">
        <f t="shared" ref="N7:N39" si="0">+R7/L7*G7</f>
        <v>12.2153225806452</v>
      </c>
      <c r="O7" s="57">
        <f t="shared" ref="O7:O39" si="1">+R7/L7*H7</f>
        <v>0</v>
      </c>
      <c r="P7" s="57">
        <f t="shared" ref="P7:P39" si="2">+R7/L7*I7</f>
        <v>8.54751728387097</v>
      </c>
      <c r="Q7" s="57">
        <f t="shared" ref="Q7:Q70" si="3">SUM(N7:P7)</f>
        <v>20.7628398645161</v>
      </c>
      <c r="R7" s="58">
        <v>25</v>
      </c>
      <c r="S7" s="59"/>
    </row>
    <row r="8" ht="58" spans="1:62">
      <c r="A8" s="48" t="s">
        <v>25</v>
      </c>
      <c r="B8" s="49" t="s">
        <v>26</v>
      </c>
      <c r="C8" s="60" t="s">
        <v>27</v>
      </c>
      <c r="D8" s="51" t="s">
        <v>22</v>
      </c>
      <c r="E8" s="52" t="s">
        <v>28</v>
      </c>
      <c r="F8" s="53" t="s">
        <v>24</v>
      </c>
      <c r="G8" s="54">
        <v>59.6904</v>
      </c>
      <c r="H8" s="54">
        <v>49.665</v>
      </c>
      <c r="I8" s="54">
        <v>15.77532</v>
      </c>
      <c r="J8" s="61">
        <f t="shared" ref="J7:J39" si="4">G8+H8+I8</f>
        <v>125.13072</v>
      </c>
      <c r="K8" s="54">
        <f>J8*0.1</f>
        <v>12.513072</v>
      </c>
      <c r="L8" s="32">
        <f>ROUND((J8+K8),0)</f>
        <v>138</v>
      </c>
      <c r="M8" s="62"/>
      <c r="N8" s="57">
        <f t="shared" si="0"/>
        <v>62.7181739130435</v>
      </c>
      <c r="O8" s="57">
        <f t="shared" si="1"/>
        <v>52.1842391304348</v>
      </c>
      <c r="P8" s="57">
        <f t="shared" si="2"/>
        <v>16.5755173913043</v>
      </c>
      <c r="Q8" s="57">
        <f t="shared" si="3"/>
        <v>131.477930434783</v>
      </c>
      <c r="R8" s="58">
        <v>145</v>
      </c>
      <c r="S8" s="59"/>
    </row>
    <row r="9" ht="65" spans="1:62">
      <c r="A9" s="48" t="s">
        <v>29</v>
      </c>
      <c r="B9" s="63" t="s">
        <v>30</v>
      </c>
      <c r="C9" s="64" t="s">
        <v>31</v>
      </c>
      <c r="D9" s="51" t="s">
        <v>22</v>
      </c>
      <c r="E9" s="52" t="s">
        <v>32</v>
      </c>
      <c r="F9" s="53" t="s">
        <v>24</v>
      </c>
      <c r="G9" s="54">
        <v>48.62</v>
      </c>
      <c r="H9" s="54"/>
      <c r="I9" s="55">
        <v>13</v>
      </c>
      <c r="J9" s="54">
        <f t="shared" si="4"/>
        <v>61.62</v>
      </c>
      <c r="K9" s="54">
        <f t="shared" ref="K9:K39" si="5">J9*0.1</f>
        <v>6.162</v>
      </c>
      <c r="L9" s="32">
        <f t="shared" ref="L7:L38" si="6">ROUND((J9+K9),0)</f>
        <v>68</v>
      </c>
      <c r="M9" s="62" t="s">
        <v>33</v>
      </c>
      <c r="N9" s="57">
        <f t="shared" si="0"/>
        <v>42.9</v>
      </c>
      <c r="O9" s="57">
        <f t="shared" si="1"/>
        <v>0</v>
      </c>
      <c r="P9" s="57">
        <f t="shared" si="2"/>
        <v>11.4705882352941</v>
      </c>
      <c r="Q9" s="57">
        <f t="shared" si="3"/>
        <v>54.3705882352941</v>
      </c>
      <c r="R9" s="58">
        <v>60</v>
      </c>
      <c r="S9" s="59" t="s">
        <v>33</v>
      </c>
    </row>
    <row r="10" ht="65" spans="1:62">
      <c r="A10" s="48" t="s">
        <v>34</v>
      </c>
      <c r="B10" s="63" t="s">
        <v>30</v>
      </c>
      <c r="C10" s="64" t="s">
        <v>35</v>
      </c>
      <c r="D10" s="51" t="s">
        <v>22</v>
      </c>
      <c r="E10" s="52" t="s">
        <v>32</v>
      </c>
      <c r="F10" s="53" t="s">
        <v>24</v>
      </c>
      <c r="G10" s="54">
        <v>50.49</v>
      </c>
      <c r="H10" s="54"/>
      <c r="I10" s="55">
        <v>13</v>
      </c>
      <c r="J10" s="54">
        <f t="shared" si="4"/>
        <v>63.49</v>
      </c>
      <c r="K10" s="54">
        <f t="shared" si="5"/>
        <v>6.349</v>
      </c>
      <c r="L10" s="32">
        <f t="shared" si="6"/>
        <v>70</v>
      </c>
      <c r="M10" s="62" t="s">
        <v>33</v>
      </c>
      <c r="N10" s="57">
        <f t="shared" si="0"/>
        <v>43.2771428571429</v>
      </c>
      <c r="O10" s="57">
        <f t="shared" si="1"/>
        <v>0</v>
      </c>
      <c r="P10" s="57">
        <f t="shared" si="2"/>
        <v>11.1428571428571</v>
      </c>
      <c r="Q10" s="57">
        <f t="shared" si="3"/>
        <v>54.42</v>
      </c>
      <c r="R10" s="58">
        <v>60</v>
      </c>
      <c r="S10" s="59" t="s">
        <v>33</v>
      </c>
    </row>
    <row r="11" ht="52" spans="1:62">
      <c r="A11" s="48" t="s">
        <v>36</v>
      </c>
      <c r="B11" s="63" t="s">
        <v>37</v>
      </c>
      <c r="C11" s="64" t="s">
        <v>38</v>
      </c>
      <c r="D11" s="51" t="s">
        <v>22</v>
      </c>
      <c r="E11" s="52" t="s">
        <v>32</v>
      </c>
      <c r="F11" s="53" t="s">
        <v>24</v>
      </c>
      <c r="G11" s="54">
        <v>52.36</v>
      </c>
      <c r="H11" s="54"/>
      <c r="I11" s="55">
        <v>13</v>
      </c>
      <c r="J11" s="54">
        <f t="shared" si="4"/>
        <v>65.36</v>
      </c>
      <c r="K11" s="54">
        <f t="shared" si="5"/>
        <v>6.536</v>
      </c>
      <c r="L11" s="32">
        <f t="shared" si="6"/>
        <v>72</v>
      </c>
      <c r="M11" s="62" t="s">
        <v>33</v>
      </c>
      <c r="N11" s="57">
        <f t="shared" si="0"/>
        <v>45.0877777777778</v>
      </c>
      <c r="O11" s="57">
        <f t="shared" si="1"/>
        <v>0</v>
      </c>
      <c r="P11" s="57">
        <f t="shared" si="2"/>
        <v>11.1944444444444</v>
      </c>
      <c r="Q11" s="57">
        <f t="shared" si="3"/>
        <v>56.2822222222222</v>
      </c>
      <c r="R11" s="58">
        <v>62</v>
      </c>
      <c r="S11" s="59"/>
    </row>
    <row r="12" ht="65" spans="1:62">
      <c r="A12" s="48" t="s">
        <v>39</v>
      </c>
      <c r="B12" s="63" t="s">
        <v>40</v>
      </c>
      <c r="C12" s="64" t="s">
        <v>41</v>
      </c>
      <c r="D12" s="51" t="s">
        <v>22</v>
      </c>
      <c r="E12" s="52" t="s">
        <v>32</v>
      </c>
      <c r="F12" s="53" t="s">
        <v>24</v>
      </c>
      <c r="G12" s="54">
        <v>54.23</v>
      </c>
      <c r="H12" s="54"/>
      <c r="I12" s="55">
        <v>13</v>
      </c>
      <c r="J12" s="54">
        <f t="shared" si="4"/>
        <v>67.23</v>
      </c>
      <c r="K12" s="54">
        <f t="shared" si="5"/>
        <v>6.723</v>
      </c>
      <c r="L12" s="32">
        <f t="shared" si="6"/>
        <v>74</v>
      </c>
      <c r="M12" s="62" t="s">
        <v>33</v>
      </c>
      <c r="N12" s="57">
        <f t="shared" si="0"/>
        <v>46.9016216216216</v>
      </c>
      <c r="O12" s="57">
        <f t="shared" si="1"/>
        <v>0</v>
      </c>
      <c r="P12" s="57">
        <f t="shared" si="2"/>
        <v>11.2432432432432</v>
      </c>
      <c r="Q12" s="57">
        <f t="shared" si="3"/>
        <v>58.1448648648649</v>
      </c>
      <c r="R12" s="58">
        <v>64</v>
      </c>
      <c r="S12" s="59"/>
    </row>
    <row r="13" ht="29" spans="1:62">
      <c r="A13" s="48" t="s">
        <v>42</v>
      </c>
      <c r="B13" s="63" t="s">
        <v>43</v>
      </c>
      <c r="C13" s="64" t="s">
        <v>44</v>
      </c>
      <c r="D13" s="65" t="s">
        <v>45</v>
      </c>
      <c r="E13" s="64" t="s">
        <v>46</v>
      </c>
      <c r="F13" s="53" t="s">
        <v>47</v>
      </c>
      <c r="G13" s="54">
        <v>22.6644</v>
      </c>
      <c r="H13" s="54">
        <v>17.64</v>
      </c>
      <c r="I13" s="55">
        <v>12.7908</v>
      </c>
      <c r="J13" s="54">
        <f t="shared" si="4"/>
        <v>53.0952</v>
      </c>
      <c r="K13" s="54">
        <f t="shared" si="5"/>
        <v>5.30952</v>
      </c>
      <c r="L13" s="32">
        <f t="shared" si="6"/>
        <v>58</v>
      </c>
      <c r="M13" s="66"/>
      <c r="N13" s="57">
        <f t="shared" si="0"/>
        <v>23.4459310344828</v>
      </c>
      <c r="O13" s="57">
        <f t="shared" si="1"/>
        <v>18.248275862069</v>
      </c>
      <c r="P13" s="57">
        <f t="shared" si="2"/>
        <v>13.2318620689655</v>
      </c>
      <c r="Q13" s="57">
        <f t="shared" si="3"/>
        <v>54.9260689655173</v>
      </c>
      <c r="R13" s="58">
        <v>60</v>
      </c>
      <c r="S13" s="59"/>
    </row>
    <row r="14" ht="91" spans="1:62">
      <c r="A14" s="48" t="s">
        <v>48</v>
      </c>
      <c r="B14" s="63" t="s">
        <v>49</v>
      </c>
      <c r="C14" s="64" t="s">
        <v>50</v>
      </c>
      <c r="D14" s="51" t="s">
        <v>22</v>
      </c>
      <c r="E14" s="52" t="s">
        <v>32</v>
      </c>
      <c r="F14" s="53" t="s">
        <v>24</v>
      </c>
      <c r="G14" s="54">
        <v>56.1</v>
      </c>
      <c r="H14" s="54"/>
      <c r="I14" s="55">
        <v>13</v>
      </c>
      <c r="J14" s="54">
        <f t="shared" si="4"/>
        <v>69.1</v>
      </c>
      <c r="K14" s="54">
        <f t="shared" si="5"/>
        <v>6.91</v>
      </c>
      <c r="L14" s="32">
        <f t="shared" si="6"/>
        <v>76</v>
      </c>
      <c r="M14" s="62" t="s">
        <v>33</v>
      </c>
      <c r="N14" s="57">
        <f t="shared" si="0"/>
        <v>48.7184210526316</v>
      </c>
      <c r="O14" s="57">
        <f t="shared" si="1"/>
        <v>0</v>
      </c>
      <c r="P14" s="57">
        <f t="shared" si="2"/>
        <v>11.2894736842105</v>
      </c>
      <c r="Q14" s="57">
        <f t="shared" si="3"/>
        <v>60.0078947368421</v>
      </c>
      <c r="R14" s="58">
        <v>66</v>
      </c>
      <c r="S14" s="59"/>
    </row>
    <row r="15" ht="65" spans="1:62">
      <c r="A15" s="48" t="s">
        <v>51</v>
      </c>
      <c r="B15" s="63" t="s">
        <v>52</v>
      </c>
      <c r="C15" s="64" t="s">
        <v>41</v>
      </c>
      <c r="D15" s="51" t="s">
        <v>22</v>
      </c>
      <c r="E15" s="64" t="s">
        <v>53</v>
      </c>
      <c r="F15" s="53" t="s">
        <v>24</v>
      </c>
      <c r="G15" s="54">
        <v>61.71</v>
      </c>
      <c r="H15" s="54"/>
      <c r="I15" s="55">
        <v>13</v>
      </c>
      <c r="J15" s="54">
        <f t="shared" si="4"/>
        <v>74.71</v>
      </c>
      <c r="K15" s="54">
        <f t="shared" si="5"/>
        <v>7.471</v>
      </c>
      <c r="L15" s="32">
        <f t="shared" si="6"/>
        <v>82</v>
      </c>
      <c r="M15" s="62" t="s">
        <v>33</v>
      </c>
      <c r="N15" s="57">
        <f t="shared" si="0"/>
        <v>59.4523170731707</v>
      </c>
      <c r="O15" s="57">
        <f t="shared" si="1"/>
        <v>0</v>
      </c>
      <c r="P15" s="57">
        <f t="shared" si="2"/>
        <v>12.5243902439024</v>
      </c>
      <c r="Q15" s="57">
        <f t="shared" si="3"/>
        <v>71.9767073170732</v>
      </c>
      <c r="R15" s="58">
        <v>79</v>
      </c>
      <c r="S15" s="59"/>
    </row>
    <row r="16" ht="78" spans="1:62">
      <c r="A16" s="48" t="s">
        <v>54</v>
      </c>
      <c r="B16" s="63" t="s">
        <v>55</v>
      </c>
      <c r="C16" s="64" t="s">
        <v>56</v>
      </c>
      <c r="D16" s="51" t="s">
        <v>22</v>
      </c>
      <c r="E16" s="64" t="s">
        <v>53</v>
      </c>
      <c r="F16" s="53" t="s">
        <v>24</v>
      </c>
      <c r="G16" s="54">
        <v>67.32</v>
      </c>
      <c r="H16" s="54"/>
      <c r="I16" s="55">
        <v>13</v>
      </c>
      <c r="J16" s="54">
        <f t="shared" si="4"/>
        <v>80.32</v>
      </c>
      <c r="K16" s="54">
        <f t="shared" si="5"/>
        <v>8.032</v>
      </c>
      <c r="L16" s="32">
        <f t="shared" si="6"/>
        <v>88</v>
      </c>
      <c r="M16" s="62" t="s">
        <v>33</v>
      </c>
      <c r="N16" s="57">
        <f t="shared" si="0"/>
        <v>62.73</v>
      </c>
      <c r="O16" s="57">
        <f t="shared" si="1"/>
        <v>0</v>
      </c>
      <c r="P16" s="57">
        <f t="shared" si="2"/>
        <v>12.1136363636364</v>
      </c>
      <c r="Q16" s="57">
        <f t="shared" si="3"/>
        <v>74.8436363636363</v>
      </c>
      <c r="R16" s="58">
        <v>82</v>
      </c>
      <c r="S16" s="59"/>
    </row>
    <row r="17" ht="91" spans="1:19">
      <c r="A17" s="48" t="s">
        <v>57</v>
      </c>
      <c r="B17" s="63" t="s">
        <v>58</v>
      </c>
      <c r="C17" s="64" t="s">
        <v>59</v>
      </c>
      <c r="D17" s="51" t="s">
        <v>22</v>
      </c>
      <c r="E17" s="64" t="s">
        <v>53</v>
      </c>
      <c r="F17" s="53" t="s">
        <v>24</v>
      </c>
      <c r="G17" s="54">
        <v>71.06</v>
      </c>
      <c r="H17" s="54"/>
      <c r="I17" s="55">
        <v>13</v>
      </c>
      <c r="J17" s="54">
        <f t="shared" si="4"/>
        <v>84.06</v>
      </c>
      <c r="K17" s="54">
        <f t="shared" si="5"/>
        <v>8.406</v>
      </c>
      <c r="L17" s="32">
        <f t="shared" si="6"/>
        <v>92</v>
      </c>
      <c r="M17" s="62" t="s">
        <v>33</v>
      </c>
      <c r="N17" s="57">
        <f t="shared" si="0"/>
        <v>66.4256521739131</v>
      </c>
      <c r="O17" s="57">
        <f t="shared" si="1"/>
        <v>0</v>
      </c>
      <c r="P17" s="57">
        <f t="shared" si="2"/>
        <v>12.1521739130435</v>
      </c>
      <c r="Q17" s="57">
        <f t="shared" si="3"/>
        <v>78.5778260869565</v>
      </c>
      <c r="R17" s="58">
        <v>86</v>
      </c>
      <c r="S17" s="59"/>
    </row>
    <row r="18" ht="29" spans="1:19">
      <c r="A18" s="48" t="s">
        <v>60</v>
      </c>
      <c r="B18" s="63" t="s">
        <v>61</v>
      </c>
      <c r="C18" s="64" t="s">
        <v>62</v>
      </c>
      <c r="D18" s="65" t="s">
        <v>63</v>
      </c>
      <c r="E18" s="64" t="s">
        <v>64</v>
      </c>
      <c r="F18" s="53" t="s">
        <v>47</v>
      </c>
      <c r="G18" s="54">
        <v>11.713</v>
      </c>
      <c r="H18" s="54">
        <v>15.75</v>
      </c>
      <c r="I18" s="55">
        <v>1</v>
      </c>
      <c r="J18" s="54">
        <f t="shared" si="4"/>
        <v>28.463</v>
      </c>
      <c r="K18" s="54">
        <f t="shared" si="5"/>
        <v>2.8463</v>
      </c>
      <c r="L18" s="32">
        <f t="shared" si="6"/>
        <v>31</v>
      </c>
      <c r="M18" s="66"/>
      <c r="N18" s="57">
        <f t="shared" si="0"/>
        <v>10.2016451612903</v>
      </c>
      <c r="O18" s="57">
        <f t="shared" si="1"/>
        <v>13.7177419354839</v>
      </c>
      <c r="P18" s="57">
        <f t="shared" si="2"/>
        <v>0.870967741935484</v>
      </c>
      <c r="Q18" s="57">
        <f t="shared" si="3"/>
        <v>24.7903548387097</v>
      </c>
      <c r="R18" s="58">
        <v>27</v>
      </c>
      <c r="S18" s="59"/>
    </row>
    <row r="19" ht="43.5" spans="1:19">
      <c r="A19" s="48" t="s">
        <v>65</v>
      </c>
      <c r="B19" s="63" t="s">
        <v>66</v>
      </c>
      <c r="C19" s="64" t="s">
        <v>67</v>
      </c>
      <c r="D19" s="51" t="s">
        <v>22</v>
      </c>
      <c r="E19" s="64" t="s">
        <v>68</v>
      </c>
      <c r="F19" s="53" t="s">
        <v>24</v>
      </c>
      <c r="G19" s="54">
        <v>5.882</v>
      </c>
      <c r="H19" s="54"/>
      <c r="I19" s="55">
        <v>1</v>
      </c>
      <c r="J19" s="54">
        <f t="shared" si="4"/>
        <v>6.882</v>
      </c>
      <c r="K19" s="54">
        <f t="shared" si="5"/>
        <v>0.6882</v>
      </c>
      <c r="L19" s="32">
        <f t="shared" si="6"/>
        <v>8</v>
      </c>
      <c r="M19" s="66"/>
      <c r="N19" s="57">
        <f t="shared" si="0"/>
        <v>4.4115</v>
      </c>
      <c r="O19" s="57">
        <f t="shared" si="1"/>
        <v>0</v>
      </c>
      <c r="P19" s="57">
        <f t="shared" si="2"/>
        <v>0.75</v>
      </c>
      <c r="Q19" s="57">
        <f t="shared" si="3"/>
        <v>5.1615</v>
      </c>
      <c r="R19" s="58">
        <v>6</v>
      </c>
      <c r="S19" s="59"/>
    </row>
    <row r="20" ht="39" spans="1:19">
      <c r="A20" s="48" t="s">
        <v>69</v>
      </c>
      <c r="B20" s="63" t="s">
        <v>70</v>
      </c>
      <c r="C20" s="64" t="s">
        <v>71</v>
      </c>
      <c r="D20" s="51" t="s">
        <v>22</v>
      </c>
      <c r="E20" s="64" t="s">
        <v>72</v>
      </c>
      <c r="F20" s="53" t="s">
        <v>24</v>
      </c>
      <c r="G20" s="54">
        <v>25.0189</v>
      </c>
      <c r="H20" s="54"/>
      <c r="I20" s="55">
        <v>5</v>
      </c>
      <c r="J20" s="54">
        <f t="shared" si="4"/>
        <v>30.0189</v>
      </c>
      <c r="K20" s="54">
        <f t="shared" si="5"/>
        <v>3.00189</v>
      </c>
      <c r="L20" s="32">
        <f t="shared" si="6"/>
        <v>33</v>
      </c>
      <c r="M20" s="67"/>
      <c r="N20" s="57">
        <f t="shared" si="0"/>
        <v>13.6466727272727</v>
      </c>
      <c r="O20" s="57">
        <f t="shared" si="1"/>
        <v>0</v>
      </c>
      <c r="P20" s="57">
        <f t="shared" si="2"/>
        <v>2.72727272727273</v>
      </c>
      <c r="Q20" s="57">
        <f t="shared" si="3"/>
        <v>16.3739454545455</v>
      </c>
      <c r="R20" s="58">
        <v>18</v>
      </c>
      <c r="S20" s="59"/>
    </row>
    <row r="21" ht="43.5" spans="1:19">
      <c r="A21" s="48" t="s">
        <v>73</v>
      </c>
      <c r="B21" s="63" t="s">
        <v>74</v>
      </c>
      <c r="C21" s="68" t="s">
        <v>75</v>
      </c>
      <c r="D21" s="51" t="s">
        <v>22</v>
      </c>
      <c r="E21" s="64" t="s">
        <v>76</v>
      </c>
      <c r="F21" s="53" t="s">
        <v>24</v>
      </c>
      <c r="G21" s="54">
        <v>26.528</v>
      </c>
      <c r="H21" s="54"/>
      <c r="I21" s="55">
        <v>26.9597315436242</v>
      </c>
      <c r="J21" s="54">
        <f t="shared" si="4"/>
        <v>53.4877315436242</v>
      </c>
      <c r="K21" s="54">
        <f t="shared" si="5"/>
        <v>5.34877315436242</v>
      </c>
      <c r="L21" s="32">
        <f t="shared" si="6"/>
        <v>59</v>
      </c>
      <c r="M21" s="67"/>
      <c r="N21" s="57">
        <f t="shared" si="0"/>
        <v>23.3806101694915</v>
      </c>
      <c r="O21" s="57">
        <f t="shared" si="1"/>
        <v>0</v>
      </c>
      <c r="P21" s="57">
        <f t="shared" si="2"/>
        <v>23.761119326584</v>
      </c>
      <c r="Q21" s="57">
        <f t="shared" si="3"/>
        <v>47.1417294960756</v>
      </c>
      <c r="R21" s="58">
        <v>52</v>
      </c>
      <c r="S21" s="59"/>
    </row>
    <row r="22" ht="43.5" spans="1:19">
      <c r="A22" s="48" t="s">
        <v>77</v>
      </c>
      <c r="B22" s="63" t="s">
        <v>78</v>
      </c>
      <c r="C22" s="68" t="s">
        <v>75</v>
      </c>
      <c r="D22" s="51" t="s">
        <v>22</v>
      </c>
      <c r="E22" s="64" t="s">
        <v>76</v>
      </c>
      <c r="F22" s="53" t="s">
        <v>24</v>
      </c>
      <c r="G22" s="54">
        <v>29.12</v>
      </c>
      <c r="H22" s="54"/>
      <c r="I22" s="55">
        <v>26.96</v>
      </c>
      <c r="J22" s="54">
        <f t="shared" si="4"/>
        <v>56.08</v>
      </c>
      <c r="K22" s="54">
        <f t="shared" si="5"/>
        <v>5.608</v>
      </c>
      <c r="L22" s="32">
        <f t="shared" si="6"/>
        <v>62</v>
      </c>
      <c r="M22" s="67"/>
      <c r="N22" s="57">
        <f t="shared" si="0"/>
        <v>25.8322580645161</v>
      </c>
      <c r="O22" s="57">
        <f t="shared" si="1"/>
        <v>0</v>
      </c>
      <c r="P22" s="57">
        <f t="shared" si="2"/>
        <v>23.9161290322581</v>
      </c>
      <c r="Q22" s="57">
        <f t="shared" si="3"/>
        <v>49.7483870967742</v>
      </c>
      <c r="R22" s="58">
        <v>55</v>
      </c>
      <c r="S22" s="59"/>
    </row>
    <row r="23" ht="43.5" spans="1:19">
      <c r="A23" s="48" t="s">
        <v>79</v>
      </c>
      <c r="B23" s="63" t="s">
        <v>80</v>
      </c>
      <c r="C23" s="68" t="s">
        <v>75</v>
      </c>
      <c r="D23" s="51" t="s">
        <v>22</v>
      </c>
      <c r="E23" s="64" t="s">
        <v>76</v>
      </c>
      <c r="F23" s="53" t="s">
        <v>24</v>
      </c>
      <c r="G23" s="54">
        <v>34.88</v>
      </c>
      <c r="H23" s="54"/>
      <c r="I23" s="55">
        <v>26.96</v>
      </c>
      <c r="J23" s="54">
        <f t="shared" si="4"/>
        <v>61.84</v>
      </c>
      <c r="K23" s="54">
        <f t="shared" si="5"/>
        <v>6.184</v>
      </c>
      <c r="L23" s="32">
        <f t="shared" si="6"/>
        <v>68</v>
      </c>
      <c r="M23" s="67"/>
      <c r="N23" s="57">
        <f t="shared" si="0"/>
        <v>29.2376470588235</v>
      </c>
      <c r="O23" s="57">
        <f t="shared" si="1"/>
        <v>0</v>
      </c>
      <c r="P23" s="57">
        <f t="shared" si="2"/>
        <v>22.5988235294118</v>
      </c>
      <c r="Q23" s="57">
        <f t="shared" si="3"/>
        <v>51.8364705882353</v>
      </c>
      <c r="R23" s="58">
        <v>57</v>
      </c>
      <c r="S23" s="59"/>
    </row>
    <row r="24" ht="29" spans="1:19">
      <c r="A24" s="48" t="s">
        <v>81</v>
      </c>
      <c r="B24" s="63" t="s">
        <v>82</v>
      </c>
      <c r="C24" s="63" t="s">
        <v>83</v>
      </c>
      <c r="D24" s="51" t="s">
        <v>22</v>
      </c>
      <c r="E24" s="64" t="s">
        <v>84</v>
      </c>
      <c r="F24" s="53" t="s">
        <v>24</v>
      </c>
      <c r="G24" s="54">
        <v>15.296</v>
      </c>
      <c r="H24" s="54"/>
      <c r="I24" s="55">
        <v>5</v>
      </c>
      <c r="J24" s="54">
        <f t="shared" si="4"/>
        <v>20.296</v>
      </c>
      <c r="K24" s="54">
        <f t="shared" si="5"/>
        <v>2.0296</v>
      </c>
      <c r="L24" s="32">
        <f t="shared" si="6"/>
        <v>22</v>
      </c>
      <c r="M24" s="66"/>
      <c r="N24" s="57">
        <f t="shared" si="0"/>
        <v>13.2101818181818</v>
      </c>
      <c r="O24" s="57">
        <f t="shared" si="1"/>
        <v>0</v>
      </c>
      <c r="P24" s="57">
        <f t="shared" si="2"/>
        <v>4.31818181818182</v>
      </c>
      <c r="Q24" s="57">
        <f t="shared" si="3"/>
        <v>17.5283636363636</v>
      </c>
      <c r="R24" s="58">
        <v>19</v>
      </c>
      <c r="S24" s="59"/>
    </row>
    <row r="25" ht="72.5" spans="1:19">
      <c r="A25" s="48" t="s">
        <v>85</v>
      </c>
      <c r="B25" s="63" t="s">
        <v>86</v>
      </c>
      <c r="C25" s="63" t="s">
        <v>87</v>
      </c>
      <c r="D25" s="50" t="s">
        <v>88</v>
      </c>
      <c r="E25" s="63" t="s">
        <v>89</v>
      </c>
      <c r="F25" s="69" t="s">
        <v>24</v>
      </c>
      <c r="G25" s="54">
        <v>8.415</v>
      </c>
      <c r="H25" s="54"/>
      <c r="I25" s="55">
        <v>0.8</v>
      </c>
      <c r="J25" s="54">
        <f t="shared" si="4"/>
        <v>9.215</v>
      </c>
      <c r="K25" s="54">
        <f t="shared" si="5"/>
        <v>0.9215</v>
      </c>
      <c r="L25" s="32">
        <f t="shared" si="6"/>
        <v>10</v>
      </c>
      <c r="M25" s="66"/>
      <c r="N25" s="57">
        <f t="shared" si="0"/>
        <v>6.732</v>
      </c>
      <c r="O25" s="57">
        <f t="shared" si="1"/>
        <v>0</v>
      </c>
      <c r="P25" s="57">
        <f t="shared" si="2"/>
        <v>0.64</v>
      </c>
      <c r="Q25" s="57">
        <f t="shared" si="3"/>
        <v>7.372</v>
      </c>
      <c r="R25" s="58">
        <v>8</v>
      </c>
      <c r="S25" s="59"/>
    </row>
    <row r="26" ht="72.5" spans="1:19">
      <c r="A26" s="48" t="s">
        <v>90</v>
      </c>
      <c r="B26" s="63" t="s">
        <v>91</v>
      </c>
      <c r="C26" s="63" t="s">
        <v>92</v>
      </c>
      <c r="D26" s="50" t="s">
        <v>88</v>
      </c>
      <c r="E26" s="70" t="s">
        <v>23</v>
      </c>
      <c r="F26" s="69" t="s">
        <v>24</v>
      </c>
      <c r="G26" s="54">
        <v>14.399</v>
      </c>
      <c r="H26" s="54"/>
      <c r="I26" s="55">
        <v>5.761429872</v>
      </c>
      <c r="J26" s="54">
        <f t="shared" si="4"/>
        <v>20.160429872</v>
      </c>
      <c r="K26" s="54">
        <f t="shared" si="5"/>
        <v>2.0160429872</v>
      </c>
      <c r="L26" s="32">
        <f t="shared" si="6"/>
        <v>22</v>
      </c>
      <c r="M26" s="66"/>
      <c r="N26" s="57">
        <f t="shared" si="0"/>
        <v>8.5085</v>
      </c>
      <c r="O26" s="57">
        <f t="shared" si="1"/>
        <v>0</v>
      </c>
      <c r="P26" s="57">
        <f t="shared" si="2"/>
        <v>3.404481288</v>
      </c>
      <c r="Q26" s="57">
        <f t="shared" si="3"/>
        <v>11.912981288</v>
      </c>
      <c r="R26" s="58">
        <v>13</v>
      </c>
      <c r="S26" s="59"/>
    </row>
    <row r="27" ht="26" spans="1:19">
      <c r="A27" s="48" t="s">
        <v>93</v>
      </c>
      <c r="B27" s="70" t="s">
        <v>94</v>
      </c>
      <c r="C27" s="71" t="s">
        <v>95</v>
      </c>
      <c r="D27" s="65" t="s">
        <v>63</v>
      </c>
      <c r="E27" s="64" t="s">
        <v>96</v>
      </c>
      <c r="F27" s="53" t="s">
        <v>47</v>
      </c>
      <c r="G27" s="54">
        <v>14.025</v>
      </c>
      <c r="H27" s="54"/>
      <c r="I27" s="55">
        <v>1.2936</v>
      </c>
      <c r="J27" s="54">
        <f t="shared" si="4"/>
        <v>15.3186</v>
      </c>
      <c r="K27" s="54">
        <f t="shared" si="5"/>
        <v>1.53186</v>
      </c>
      <c r="L27" s="32">
        <f t="shared" si="6"/>
        <v>17</v>
      </c>
      <c r="M27" s="72"/>
      <c r="N27" s="57">
        <f t="shared" si="0"/>
        <v>10.725</v>
      </c>
      <c r="O27" s="57">
        <f t="shared" si="1"/>
        <v>0</v>
      </c>
      <c r="P27" s="57">
        <f t="shared" si="2"/>
        <v>0.989223529411765</v>
      </c>
      <c r="Q27" s="57">
        <f t="shared" si="3"/>
        <v>11.7142235294118</v>
      </c>
      <c r="R27" s="58">
        <v>13</v>
      </c>
      <c r="S27" s="59"/>
    </row>
    <row r="28" ht="78" spans="1:19">
      <c r="A28" s="48" t="s">
        <v>97</v>
      </c>
      <c r="B28" s="63" t="s">
        <v>98</v>
      </c>
      <c r="C28" s="64" t="s">
        <v>99</v>
      </c>
      <c r="D28" s="51" t="s">
        <v>22</v>
      </c>
      <c r="E28" s="64" t="s">
        <v>100</v>
      </c>
      <c r="F28" s="53" t="s">
        <v>24</v>
      </c>
      <c r="G28" s="54">
        <f>(60/1.25/1.0341)</f>
        <v>46.4171743545112</v>
      </c>
      <c r="H28" s="54"/>
      <c r="I28" s="54"/>
      <c r="J28" s="54">
        <f t="shared" si="4"/>
        <v>46.4171743545112</v>
      </c>
      <c r="K28" s="54">
        <f t="shared" si="5"/>
        <v>4.64171743545112</v>
      </c>
      <c r="L28" s="32">
        <f t="shared" si="6"/>
        <v>51</v>
      </c>
      <c r="M28" s="73" t="s">
        <v>101</v>
      </c>
      <c r="N28" s="57">
        <f t="shared" si="0"/>
        <v>41.8664709864219</v>
      </c>
      <c r="O28" s="57">
        <f t="shared" si="1"/>
        <v>0</v>
      </c>
      <c r="P28" s="57">
        <f t="shared" si="2"/>
        <v>0</v>
      </c>
      <c r="Q28" s="57">
        <f t="shared" si="3"/>
        <v>41.8664709864219</v>
      </c>
      <c r="R28" s="58">
        <v>46</v>
      </c>
      <c r="S28" s="59" t="s">
        <v>102</v>
      </c>
    </row>
    <row r="29" ht="65" spans="1:19">
      <c r="A29" s="48" t="s">
        <v>103</v>
      </c>
      <c r="B29" s="63" t="s">
        <v>104</v>
      </c>
      <c r="C29" s="64" t="s">
        <v>105</v>
      </c>
      <c r="D29" s="51" t="s">
        <v>63</v>
      </c>
      <c r="E29" s="64" t="s">
        <v>53</v>
      </c>
      <c r="F29" s="53" t="s">
        <v>47</v>
      </c>
      <c r="G29" s="55">
        <v>9.911</v>
      </c>
      <c r="H29" s="54"/>
      <c r="I29" s="74">
        <v>2</v>
      </c>
      <c r="J29" s="55">
        <f t="shared" si="4"/>
        <v>11.911</v>
      </c>
      <c r="K29" s="54">
        <f t="shared" si="5"/>
        <v>1.1911</v>
      </c>
      <c r="L29" s="32">
        <f t="shared" si="6"/>
        <v>13</v>
      </c>
      <c r="M29" s="62" t="s">
        <v>106</v>
      </c>
      <c r="N29" s="57">
        <f t="shared" si="0"/>
        <v>7.62384615384615</v>
      </c>
      <c r="O29" s="57">
        <f t="shared" si="1"/>
        <v>0</v>
      </c>
      <c r="P29" s="57">
        <f t="shared" si="2"/>
        <v>1.53846153846154</v>
      </c>
      <c r="Q29" s="57">
        <f t="shared" si="3"/>
        <v>9.16230769230769</v>
      </c>
      <c r="R29" s="58">
        <v>10</v>
      </c>
      <c r="S29" s="59" t="s">
        <v>106</v>
      </c>
    </row>
    <row r="30" ht="159.5" spans="1:19">
      <c r="A30" s="48" t="s">
        <v>107</v>
      </c>
      <c r="B30" s="63" t="s">
        <v>108</v>
      </c>
      <c r="C30" s="64" t="s">
        <v>109</v>
      </c>
      <c r="D30" s="51" t="s">
        <v>63</v>
      </c>
      <c r="E30" s="64" t="s">
        <v>53</v>
      </c>
      <c r="F30" s="53" t="s">
        <v>47</v>
      </c>
      <c r="G30" s="55">
        <v>19.074</v>
      </c>
      <c r="H30" s="54"/>
      <c r="I30" s="74">
        <v>3.01563449023861</v>
      </c>
      <c r="J30" s="55">
        <f t="shared" si="4"/>
        <v>22.0896344902386</v>
      </c>
      <c r="K30" s="54">
        <f t="shared" si="5"/>
        <v>2.20896344902386</v>
      </c>
      <c r="L30" s="32">
        <f t="shared" si="6"/>
        <v>24</v>
      </c>
      <c r="M30" s="62" t="s">
        <v>110</v>
      </c>
      <c r="N30" s="57">
        <f t="shared" si="0"/>
        <v>15.895</v>
      </c>
      <c r="O30" s="57">
        <f t="shared" si="1"/>
        <v>0</v>
      </c>
      <c r="P30" s="57">
        <f t="shared" si="2"/>
        <v>2.51302874186551</v>
      </c>
      <c r="Q30" s="57">
        <f t="shared" si="3"/>
        <v>18.4080287418655</v>
      </c>
      <c r="R30" s="58">
        <v>20</v>
      </c>
      <c r="S30" s="59" t="s">
        <v>110</v>
      </c>
    </row>
    <row r="31" ht="116" spans="1:19">
      <c r="A31" s="48" t="s">
        <v>111</v>
      </c>
      <c r="B31" s="63" t="s">
        <v>112</v>
      </c>
      <c r="C31" s="64" t="s">
        <v>113</v>
      </c>
      <c r="D31" s="51" t="s">
        <v>63</v>
      </c>
      <c r="E31" s="64" t="s">
        <v>53</v>
      </c>
      <c r="F31" s="53" t="s">
        <v>47</v>
      </c>
      <c r="G31" s="55">
        <v>11.968</v>
      </c>
      <c r="H31" s="54"/>
      <c r="I31" s="74">
        <v>2</v>
      </c>
      <c r="J31" s="55">
        <f t="shared" si="4"/>
        <v>13.968</v>
      </c>
      <c r="K31" s="54">
        <f t="shared" si="5"/>
        <v>1.3968</v>
      </c>
      <c r="L31" s="32">
        <f t="shared" si="6"/>
        <v>15</v>
      </c>
      <c r="M31" s="62" t="s">
        <v>106</v>
      </c>
      <c r="N31" s="57">
        <f t="shared" si="0"/>
        <v>11.3376853333333</v>
      </c>
      <c r="O31" s="57">
        <f t="shared" si="1"/>
        <v>0</v>
      </c>
      <c r="P31" s="57">
        <f t="shared" si="2"/>
        <v>1.89466666666667</v>
      </c>
      <c r="Q31" s="57">
        <f t="shared" si="3"/>
        <v>13.232352</v>
      </c>
      <c r="R31" s="58">
        <v>14.21</v>
      </c>
      <c r="S31" s="59" t="s">
        <v>106</v>
      </c>
    </row>
    <row r="32" ht="159.5" spans="1:19">
      <c r="A32" s="48" t="s">
        <v>114</v>
      </c>
      <c r="B32" s="63" t="s">
        <v>115</v>
      </c>
      <c r="C32" s="64" t="s">
        <v>109</v>
      </c>
      <c r="D32" s="51" t="s">
        <v>63</v>
      </c>
      <c r="E32" s="64" t="s">
        <v>53</v>
      </c>
      <c r="F32" s="53" t="s">
        <v>47</v>
      </c>
      <c r="G32" s="55">
        <v>20.94</v>
      </c>
      <c r="H32" s="54"/>
      <c r="I32" s="74">
        <v>3.5</v>
      </c>
      <c r="J32" s="55">
        <f t="shared" si="4"/>
        <v>24.44</v>
      </c>
      <c r="K32" s="54">
        <f t="shared" si="5"/>
        <v>2.444</v>
      </c>
      <c r="L32" s="32">
        <f t="shared" si="6"/>
        <v>27</v>
      </c>
      <c r="M32" s="62" t="s">
        <v>110</v>
      </c>
      <c r="N32" s="57">
        <f t="shared" si="0"/>
        <v>15.5111111111111</v>
      </c>
      <c r="O32" s="57">
        <f t="shared" si="1"/>
        <v>0</v>
      </c>
      <c r="P32" s="57">
        <f t="shared" si="2"/>
        <v>2.59259259259259</v>
      </c>
      <c r="Q32" s="57">
        <f t="shared" si="3"/>
        <v>18.1037037037037</v>
      </c>
      <c r="R32" s="58">
        <v>20</v>
      </c>
      <c r="S32" s="59" t="s">
        <v>110</v>
      </c>
    </row>
    <row r="33" ht="39" spans="1:19">
      <c r="A33" s="48" t="s">
        <v>116</v>
      </c>
      <c r="B33" s="75" t="s">
        <v>117</v>
      </c>
      <c r="C33" s="64" t="s">
        <v>118</v>
      </c>
      <c r="D33" s="76" t="s">
        <v>119</v>
      </c>
      <c r="E33" s="64" t="s">
        <v>120</v>
      </c>
      <c r="F33" s="77" t="s">
        <v>24</v>
      </c>
      <c r="G33" s="55">
        <v>0.748</v>
      </c>
      <c r="H33" s="78"/>
      <c r="I33" s="55">
        <v>3.71337394836089</v>
      </c>
      <c r="J33" s="55">
        <f t="shared" si="4"/>
        <v>4.46137394836089</v>
      </c>
      <c r="K33" s="54">
        <f t="shared" si="5"/>
        <v>0.446137394836089</v>
      </c>
      <c r="L33" s="32">
        <f t="shared" si="6"/>
        <v>5</v>
      </c>
      <c r="M33" s="56"/>
      <c r="N33" s="57">
        <f t="shared" si="0"/>
        <v>0.374</v>
      </c>
      <c r="O33" s="57">
        <f t="shared" si="1"/>
        <v>0</v>
      </c>
      <c r="P33" s="57">
        <f t="shared" si="2"/>
        <v>1.85668697418045</v>
      </c>
      <c r="Q33" s="57">
        <f t="shared" si="3"/>
        <v>2.23068697418045</v>
      </c>
      <c r="R33" s="58">
        <v>2.5</v>
      </c>
      <c r="S33" s="59"/>
    </row>
    <row r="34" ht="52" spans="1:19">
      <c r="A34" s="48" t="s">
        <v>121</v>
      </c>
      <c r="B34" s="75" t="s">
        <v>122</v>
      </c>
      <c r="C34" s="64" t="s">
        <v>38</v>
      </c>
      <c r="D34" s="76" t="s">
        <v>123</v>
      </c>
      <c r="E34" s="64" t="s">
        <v>96</v>
      </c>
      <c r="F34" s="77" t="s">
        <v>24</v>
      </c>
      <c r="G34" s="55">
        <v>52.36</v>
      </c>
      <c r="H34" s="78"/>
      <c r="I34" s="55">
        <v>13</v>
      </c>
      <c r="J34" s="55">
        <f t="shared" si="4"/>
        <v>65.36</v>
      </c>
      <c r="K34" s="54">
        <f t="shared" si="5"/>
        <v>6.536</v>
      </c>
      <c r="L34" s="32">
        <f t="shared" si="6"/>
        <v>72</v>
      </c>
      <c r="M34" s="56"/>
      <c r="N34" s="57">
        <f t="shared" si="0"/>
        <v>45.815</v>
      </c>
      <c r="O34" s="57">
        <f t="shared" si="1"/>
        <v>0</v>
      </c>
      <c r="P34" s="57">
        <f t="shared" si="2"/>
        <v>11.375</v>
      </c>
      <c r="Q34" s="57">
        <f t="shared" si="3"/>
        <v>57.19</v>
      </c>
      <c r="R34" s="58">
        <v>63</v>
      </c>
      <c r="S34" s="59"/>
    </row>
    <row r="35" ht="29" spans="1:19">
      <c r="A35" s="48" t="s">
        <v>124</v>
      </c>
      <c r="B35" s="75" t="s">
        <v>125</v>
      </c>
      <c r="C35" s="60" t="s">
        <v>126</v>
      </c>
      <c r="D35" s="51" t="s">
        <v>22</v>
      </c>
      <c r="E35" s="52" t="s">
        <v>127</v>
      </c>
      <c r="F35" s="77" t="s">
        <v>24</v>
      </c>
      <c r="G35" s="55">
        <v>16.55</v>
      </c>
      <c r="H35" s="55"/>
      <c r="I35" s="55">
        <v>17</v>
      </c>
      <c r="J35" s="55">
        <f t="shared" si="4"/>
        <v>33.55</v>
      </c>
      <c r="K35" s="54">
        <f t="shared" si="5"/>
        <v>3.355</v>
      </c>
      <c r="L35" s="32">
        <f t="shared" si="6"/>
        <v>37</v>
      </c>
      <c r="M35" s="62"/>
      <c r="N35" s="57">
        <f t="shared" si="0"/>
        <v>15.6554054054054</v>
      </c>
      <c r="O35" s="57">
        <f t="shared" si="1"/>
        <v>0</v>
      </c>
      <c r="P35" s="57">
        <f t="shared" si="2"/>
        <v>16.0810810810811</v>
      </c>
      <c r="Q35" s="57">
        <f t="shared" si="3"/>
        <v>31.7364864864865</v>
      </c>
      <c r="R35" s="58">
        <v>35</v>
      </c>
      <c r="S35" s="59"/>
    </row>
    <row r="36" ht="52" spans="1:19">
      <c r="A36" s="48" t="s">
        <v>128</v>
      </c>
      <c r="B36" s="75" t="s">
        <v>129</v>
      </c>
      <c r="C36" s="64" t="s">
        <v>130</v>
      </c>
      <c r="D36" s="76" t="s">
        <v>131</v>
      </c>
      <c r="E36" s="52" t="s">
        <v>132</v>
      </c>
      <c r="F36" s="77" t="s">
        <v>133</v>
      </c>
      <c r="G36" s="55">
        <v>21.6546</v>
      </c>
      <c r="H36" s="55"/>
      <c r="I36" s="55">
        <v>350</v>
      </c>
      <c r="J36" s="55">
        <f t="shared" si="4"/>
        <v>371.6546</v>
      </c>
      <c r="K36" s="54">
        <f t="shared" si="5"/>
        <v>37.16546</v>
      </c>
      <c r="L36" s="32">
        <f t="shared" si="6"/>
        <v>409</v>
      </c>
      <c r="M36" s="62"/>
      <c r="N36" s="57">
        <f t="shared" si="0"/>
        <v>20.1191882640587</v>
      </c>
      <c r="O36" s="57">
        <f t="shared" si="1"/>
        <v>0</v>
      </c>
      <c r="P36" s="57">
        <f t="shared" si="2"/>
        <v>325.18337408313</v>
      </c>
      <c r="Q36" s="57">
        <f t="shared" si="3"/>
        <v>345.302562347188</v>
      </c>
      <c r="R36" s="58">
        <v>380</v>
      </c>
      <c r="S36" s="59" t="s">
        <v>134</v>
      </c>
    </row>
    <row r="37" ht="43.5" spans="1:19">
      <c r="A37" s="48" t="s">
        <v>135</v>
      </c>
      <c r="B37" s="75" t="s">
        <v>136</v>
      </c>
      <c r="C37" s="64" t="s">
        <v>137</v>
      </c>
      <c r="D37" s="51" t="s">
        <v>63</v>
      </c>
      <c r="E37" s="64" t="s">
        <v>138</v>
      </c>
      <c r="F37" s="77" t="s">
        <v>47</v>
      </c>
      <c r="G37" s="79">
        <v>25</v>
      </c>
      <c r="H37" s="55"/>
      <c r="I37" s="55"/>
      <c r="J37" s="55">
        <f t="shared" si="4"/>
        <v>25</v>
      </c>
      <c r="K37" s="54">
        <f t="shared" si="5"/>
        <v>2.5</v>
      </c>
      <c r="L37" s="32">
        <f t="shared" si="6"/>
        <v>28</v>
      </c>
      <c r="M37" s="62" t="s">
        <v>139</v>
      </c>
      <c r="N37" s="57">
        <f t="shared" si="0"/>
        <v>21.4285714285714</v>
      </c>
      <c r="O37" s="57">
        <f t="shared" si="1"/>
        <v>0</v>
      </c>
      <c r="P37" s="57">
        <f t="shared" si="2"/>
        <v>0</v>
      </c>
      <c r="Q37" s="57">
        <f t="shared" si="3"/>
        <v>21.4285714285714</v>
      </c>
      <c r="R37" s="58">
        <v>24</v>
      </c>
      <c r="S37" s="59"/>
    </row>
    <row r="38" ht="39" spans="1:19">
      <c r="A38" s="48" t="s">
        <v>140</v>
      </c>
      <c r="B38" s="75" t="s">
        <v>141</v>
      </c>
      <c r="C38" s="64" t="s">
        <v>142</v>
      </c>
      <c r="D38" s="76" t="s">
        <v>143</v>
      </c>
      <c r="E38" s="64" t="s">
        <v>144</v>
      </c>
      <c r="F38" s="77" t="s">
        <v>145</v>
      </c>
      <c r="G38" s="79">
        <v>16.5</v>
      </c>
      <c r="H38" s="55"/>
      <c r="I38" s="55"/>
      <c r="J38" s="55">
        <f t="shared" si="4"/>
        <v>16.5</v>
      </c>
      <c r="K38" s="54">
        <f t="shared" si="5"/>
        <v>1.65</v>
      </c>
      <c r="L38" s="32">
        <f t="shared" si="6"/>
        <v>18</v>
      </c>
      <c r="M38" s="62" t="s">
        <v>139</v>
      </c>
      <c r="N38" s="57">
        <f t="shared" si="0"/>
        <v>14.6666666666667</v>
      </c>
      <c r="O38" s="57">
        <f t="shared" si="1"/>
        <v>0</v>
      </c>
      <c r="P38" s="57">
        <f t="shared" si="2"/>
        <v>0</v>
      </c>
      <c r="Q38" s="57">
        <f t="shared" si="3"/>
        <v>14.6666666666667</v>
      </c>
      <c r="R38" s="58">
        <v>16</v>
      </c>
      <c r="S38" s="59"/>
    </row>
    <row r="39" ht="78" spans="1:19">
      <c r="A39" s="48" t="s">
        <v>146</v>
      </c>
      <c r="B39" s="75" t="s">
        <v>147</v>
      </c>
      <c r="C39" s="64" t="s">
        <v>148</v>
      </c>
      <c r="D39" s="76" t="s">
        <v>149</v>
      </c>
      <c r="E39" s="64" t="s">
        <v>53</v>
      </c>
      <c r="F39" s="77" t="s">
        <v>150</v>
      </c>
      <c r="G39" s="79">
        <f>50/1.2</f>
        <v>41.6666666666667</v>
      </c>
      <c r="H39" s="55"/>
      <c r="I39" s="55"/>
      <c r="J39" s="55">
        <f t="shared" si="4"/>
        <v>41.6666666666667</v>
      </c>
      <c r="K39" s="54">
        <f t="shared" si="5"/>
        <v>4.16666666666667</v>
      </c>
      <c r="L39" s="32">
        <v>50</v>
      </c>
      <c r="M39" s="62" t="s">
        <v>151</v>
      </c>
      <c r="N39" s="57">
        <f t="shared" si="0"/>
        <v>33.3333333333334</v>
      </c>
      <c r="O39" s="57">
        <f t="shared" si="1"/>
        <v>0</v>
      </c>
      <c r="P39" s="57">
        <f t="shared" si="2"/>
        <v>0</v>
      </c>
      <c r="Q39" s="57">
        <f t="shared" si="3"/>
        <v>33.3333333333334</v>
      </c>
      <c r="R39" s="58">
        <v>40</v>
      </c>
      <c r="S39" s="59"/>
    </row>
    <row r="40" s="14" customFormat="1" ht="22.5" customHeight="1" spans="1:19">
      <c r="A40" s="80" t="s">
        <v>152</v>
      </c>
      <c r="B40" s="81"/>
      <c r="C40" s="82"/>
      <c r="D40" s="83"/>
      <c r="E40" s="83"/>
      <c r="F40" s="83"/>
      <c r="G40" s="83"/>
      <c r="H40" s="83"/>
      <c r="I40" s="83"/>
      <c r="J40" s="83"/>
      <c r="K40" s="83"/>
      <c r="L40" s="83"/>
      <c r="M40" s="84"/>
      <c r="N40" s="57"/>
      <c r="O40" s="57"/>
      <c r="P40" s="57"/>
      <c r="Q40" s="57">
        <f t="shared" si="3"/>
        <v>0</v>
      </c>
      <c r="R40" s="85"/>
      <c r="S40" s="86"/>
    </row>
    <row r="41" ht="91" spans="1:19">
      <c r="A41" s="87" t="s">
        <v>153</v>
      </c>
      <c r="B41" s="70" t="s">
        <v>154</v>
      </c>
      <c r="C41" s="70" t="s">
        <v>155</v>
      </c>
      <c r="D41" s="88" t="s">
        <v>156</v>
      </c>
      <c r="E41" s="52" t="s">
        <v>157</v>
      </c>
      <c r="F41" s="53" t="s">
        <v>24</v>
      </c>
      <c r="G41" s="55">
        <v>48</v>
      </c>
      <c r="H41" s="55">
        <v>41.839875</v>
      </c>
      <c r="I41" s="55">
        <v>1.8</v>
      </c>
      <c r="J41" s="55">
        <f t="shared" ref="J41:J50" si="7">G41+H41+I41</f>
        <v>91.639875</v>
      </c>
      <c r="K41" s="55">
        <f>J41*0.1</f>
        <v>9.1639875</v>
      </c>
      <c r="L41" s="36">
        <f t="shared" ref="L41:L50" si="8">ROUND((J41+K41),0)</f>
        <v>101</v>
      </c>
      <c r="M41" s="89" t="s">
        <v>158</v>
      </c>
      <c r="N41" s="57">
        <f t="shared" ref="N41:N50" si="9">+R41/L41*G41</f>
        <v>49.9009900990099</v>
      </c>
      <c r="O41" s="57">
        <f t="shared" ref="O41:O50" si="10">+R41/L41*H41</f>
        <v>43.4968997524753</v>
      </c>
      <c r="P41" s="57">
        <f t="shared" ref="P41:P50" si="11">+R41/L41*I41</f>
        <v>1.87128712871287</v>
      </c>
      <c r="Q41" s="57">
        <f t="shared" si="3"/>
        <v>95.269176980198</v>
      </c>
      <c r="R41" s="58">
        <v>105</v>
      </c>
      <c r="S41" s="59"/>
    </row>
    <row r="42" s="15" customFormat="1" ht="91" spans="1:19">
      <c r="A42" s="90" t="s">
        <v>159</v>
      </c>
      <c r="B42" s="91" t="s">
        <v>160</v>
      </c>
      <c r="C42" s="91" t="s">
        <v>161</v>
      </c>
      <c r="D42" s="92" t="s">
        <v>156</v>
      </c>
      <c r="E42" s="93" t="s">
        <v>157</v>
      </c>
      <c r="F42" s="94" t="s">
        <v>24</v>
      </c>
      <c r="G42" s="95">
        <v>48</v>
      </c>
      <c r="H42" s="95">
        <f>41.839875+10</f>
        <v>51.839875</v>
      </c>
      <c r="I42" s="95">
        <v>1.8</v>
      </c>
      <c r="J42" s="95">
        <f t="shared" si="7"/>
        <v>101.639875</v>
      </c>
      <c r="K42" s="55">
        <f t="shared" ref="K42:K71" si="12">J42*0.1</f>
        <v>10.1639875</v>
      </c>
      <c r="L42" s="96">
        <f t="shared" si="8"/>
        <v>112</v>
      </c>
      <c r="M42" s="97"/>
      <c r="N42" s="57">
        <f t="shared" si="9"/>
        <v>47.1428571428571</v>
      </c>
      <c r="O42" s="57">
        <f t="shared" si="10"/>
        <v>50.9141629464286</v>
      </c>
      <c r="P42" s="57">
        <f t="shared" si="11"/>
        <v>1.76785714285714</v>
      </c>
      <c r="Q42" s="57">
        <f t="shared" si="3"/>
        <v>99.8248772321429</v>
      </c>
      <c r="R42" s="58">
        <v>110</v>
      </c>
      <c r="S42" s="98"/>
    </row>
    <row r="43" s="15" customFormat="1" ht="91" spans="1:19">
      <c r="A43" s="90" t="s">
        <v>162</v>
      </c>
      <c r="B43" s="91" t="s">
        <v>163</v>
      </c>
      <c r="C43" s="91" t="s">
        <v>164</v>
      </c>
      <c r="D43" s="92" t="s">
        <v>156</v>
      </c>
      <c r="E43" s="93" t="s">
        <v>157</v>
      </c>
      <c r="F43" s="94" t="s">
        <v>24</v>
      </c>
      <c r="G43" s="95">
        <f>48+10</f>
        <v>58</v>
      </c>
      <c r="H43" s="95">
        <f>41.839875+10</f>
        <v>51.839875</v>
      </c>
      <c r="I43" s="95">
        <v>1.8</v>
      </c>
      <c r="J43" s="95">
        <f t="shared" si="7"/>
        <v>111.639875</v>
      </c>
      <c r="K43" s="55">
        <f t="shared" si="12"/>
        <v>11.1639875</v>
      </c>
      <c r="L43" s="96">
        <f t="shared" si="8"/>
        <v>123</v>
      </c>
      <c r="M43" s="97"/>
      <c r="N43" s="57">
        <f t="shared" si="9"/>
        <v>55.1707317073171</v>
      </c>
      <c r="O43" s="57">
        <f t="shared" si="10"/>
        <v>49.3111006097561</v>
      </c>
      <c r="P43" s="57">
        <f t="shared" si="11"/>
        <v>1.71219512195122</v>
      </c>
      <c r="Q43" s="57">
        <f t="shared" si="3"/>
        <v>106.194027439024</v>
      </c>
      <c r="R43" s="58">
        <v>117</v>
      </c>
      <c r="S43" s="98"/>
    </row>
    <row r="44" ht="91" spans="1:19">
      <c r="A44" s="87" t="s">
        <v>165</v>
      </c>
      <c r="B44" s="70" t="s">
        <v>166</v>
      </c>
      <c r="C44" s="70" t="s">
        <v>167</v>
      </c>
      <c r="D44" s="88" t="s">
        <v>156</v>
      </c>
      <c r="E44" s="52" t="s">
        <v>157</v>
      </c>
      <c r="F44" s="53" t="s">
        <v>24</v>
      </c>
      <c r="G44" s="55">
        <v>52</v>
      </c>
      <c r="H44" s="55">
        <v>46.48875</v>
      </c>
      <c r="I44" s="55">
        <v>2</v>
      </c>
      <c r="J44" s="55">
        <f t="shared" si="7"/>
        <v>100.48875</v>
      </c>
      <c r="K44" s="55">
        <f t="shared" si="12"/>
        <v>10.048875</v>
      </c>
      <c r="L44" s="36">
        <f t="shared" si="8"/>
        <v>111</v>
      </c>
      <c r="M44" s="89" t="s">
        <v>168</v>
      </c>
      <c r="N44" s="57">
        <f t="shared" si="9"/>
        <v>50.5945945945946</v>
      </c>
      <c r="O44" s="57">
        <f t="shared" si="10"/>
        <v>45.2322972972973</v>
      </c>
      <c r="P44" s="57">
        <f t="shared" si="11"/>
        <v>1.94594594594595</v>
      </c>
      <c r="Q44" s="57">
        <f t="shared" si="3"/>
        <v>97.7728378378379</v>
      </c>
      <c r="R44" s="58">
        <v>108</v>
      </c>
      <c r="S44" s="59"/>
    </row>
    <row r="45" ht="78" spans="1:19">
      <c r="A45" s="87" t="s">
        <v>169</v>
      </c>
      <c r="B45" s="70" t="s">
        <v>170</v>
      </c>
      <c r="C45" s="71" t="s">
        <v>171</v>
      </c>
      <c r="D45" s="88" t="s">
        <v>156</v>
      </c>
      <c r="E45" s="52" t="s">
        <v>172</v>
      </c>
      <c r="F45" s="53" t="s">
        <v>24</v>
      </c>
      <c r="G45" s="55">
        <v>15.2</v>
      </c>
      <c r="H45" s="55">
        <v>40.792248</v>
      </c>
      <c r="I45" s="55">
        <v>1.5</v>
      </c>
      <c r="J45" s="55">
        <f t="shared" si="7"/>
        <v>57.492248</v>
      </c>
      <c r="K45" s="55">
        <f t="shared" si="12"/>
        <v>5.7492248</v>
      </c>
      <c r="L45" s="36">
        <f t="shared" si="8"/>
        <v>63</v>
      </c>
      <c r="M45" s="99"/>
      <c r="N45" s="57">
        <f t="shared" si="9"/>
        <v>13.2698412698413</v>
      </c>
      <c r="O45" s="57">
        <f t="shared" si="10"/>
        <v>35.61228</v>
      </c>
      <c r="P45" s="57">
        <f t="shared" si="11"/>
        <v>1.30952380952381</v>
      </c>
      <c r="Q45" s="57">
        <f t="shared" si="3"/>
        <v>50.1916450793651</v>
      </c>
      <c r="R45" s="58">
        <v>55</v>
      </c>
      <c r="S45" s="59"/>
    </row>
    <row r="46" ht="78" spans="1:19">
      <c r="A46" s="87" t="s">
        <v>173</v>
      </c>
      <c r="B46" s="70" t="s">
        <v>174</v>
      </c>
      <c r="C46" s="70" t="s">
        <v>175</v>
      </c>
      <c r="D46" s="88" t="s">
        <v>156</v>
      </c>
      <c r="E46" s="52" t="s">
        <v>176</v>
      </c>
      <c r="F46" s="53" t="s">
        <v>24</v>
      </c>
      <c r="G46" s="55">
        <v>15.2</v>
      </c>
      <c r="H46" s="55">
        <v>80.85</v>
      </c>
      <c r="I46" s="55">
        <v>5</v>
      </c>
      <c r="J46" s="55">
        <f t="shared" si="7"/>
        <v>101.05</v>
      </c>
      <c r="K46" s="55">
        <f t="shared" si="12"/>
        <v>10.105</v>
      </c>
      <c r="L46" s="36">
        <f t="shared" si="8"/>
        <v>111</v>
      </c>
      <c r="M46" s="89" t="s">
        <v>177</v>
      </c>
      <c r="N46" s="57">
        <f t="shared" si="9"/>
        <v>13.009009009009</v>
      </c>
      <c r="O46" s="57">
        <f t="shared" si="10"/>
        <v>69.1959459459459</v>
      </c>
      <c r="P46" s="57">
        <f t="shared" si="11"/>
        <v>4.27927927927928</v>
      </c>
      <c r="Q46" s="57">
        <f t="shared" si="3"/>
        <v>86.4842342342342</v>
      </c>
      <c r="R46" s="58">
        <v>95</v>
      </c>
      <c r="S46" s="59"/>
    </row>
    <row r="47" ht="78" spans="1:19">
      <c r="A47" s="87" t="s">
        <v>178</v>
      </c>
      <c r="B47" s="70" t="s">
        <v>179</v>
      </c>
      <c r="C47" s="70" t="s">
        <v>180</v>
      </c>
      <c r="D47" s="88" t="s">
        <v>156</v>
      </c>
      <c r="E47" s="52" t="s">
        <v>181</v>
      </c>
      <c r="F47" s="53" t="s">
        <v>24</v>
      </c>
      <c r="G47" s="55">
        <v>81.28</v>
      </c>
      <c r="H47" s="55">
        <v>150.2054928</v>
      </c>
      <c r="I47" s="55">
        <v>5</v>
      </c>
      <c r="J47" s="55">
        <f t="shared" si="7"/>
        <v>236.4854928</v>
      </c>
      <c r="K47" s="55">
        <f t="shared" si="12"/>
        <v>23.64854928</v>
      </c>
      <c r="L47" s="36">
        <f t="shared" si="8"/>
        <v>260</v>
      </c>
      <c r="M47" s="99"/>
      <c r="N47" s="57">
        <f t="shared" si="9"/>
        <v>68.7753846153846</v>
      </c>
      <c r="O47" s="57">
        <f t="shared" si="10"/>
        <v>127.096955446154</v>
      </c>
      <c r="P47" s="57">
        <f t="shared" si="11"/>
        <v>4.23076923076923</v>
      </c>
      <c r="Q47" s="57">
        <f t="shared" si="3"/>
        <v>200.103109292308</v>
      </c>
      <c r="R47" s="58">
        <v>220</v>
      </c>
      <c r="S47" s="59"/>
    </row>
    <row r="48" ht="43.5" spans="1:19">
      <c r="A48" s="87" t="s">
        <v>182</v>
      </c>
      <c r="B48" s="70" t="s">
        <v>183</v>
      </c>
      <c r="C48" s="70" t="s">
        <v>184</v>
      </c>
      <c r="D48" s="88" t="s">
        <v>185</v>
      </c>
      <c r="E48" s="52" t="s">
        <v>186</v>
      </c>
      <c r="F48" s="53" t="s">
        <v>47</v>
      </c>
      <c r="G48" s="55">
        <v>4.96</v>
      </c>
      <c r="H48" s="55">
        <v>13.88625</v>
      </c>
      <c r="I48" s="55">
        <v>0.8</v>
      </c>
      <c r="J48" s="55">
        <f t="shared" si="7"/>
        <v>19.64625</v>
      </c>
      <c r="K48" s="55">
        <f t="shared" si="12"/>
        <v>1.964625</v>
      </c>
      <c r="L48" s="36">
        <f t="shared" si="8"/>
        <v>22</v>
      </c>
      <c r="M48" s="99"/>
      <c r="N48" s="57">
        <f t="shared" si="9"/>
        <v>3.83272727272727</v>
      </c>
      <c r="O48" s="57">
        <f t="shared" si="10"/>
        <v>10.7302840909091</v>
      </c>
      <c r="P48" s="57">
        <f t="shared" si="11"/>
        <v>0.618181818181818</v>
      </c>
      <c r="Q48" s="57">
        <f t="shared" si="3"/>
        <v>15.1811931818182</v>
      </c>
      <c r="R48" s="58">
        <v>17</v>
      </c>
      <c r="S48" s="59"/>
    </row>
    <row r="49" ht="43.5" spans="1:19">
      <c r="A49" s="87" t="s">
        <v>187</v>
      </c>
      <c r="B49" s="70" t="s">
        <v>188</v>
      </c>
      <c r="C49" s="70" t="s">
        <v>184</v>
      </c>
      <c r="D49" s="88" t="s">
        <v>185</v>
      </c>
      <c r="E49" s="52" t="s">
        <v>186</v>
      </c>
      <c r="F49" s="53" t="s">
        <v>47</v>
      </c>
      <c r="G49" s="55">
        <v>4.976</v>
      </c>
      <c r="H49" s="55">
        <v>10.26375</v>
      </c>
      <c r="I49" s="55">
        <v>0.8</v>
      </c>
      <c r="J49" s="55">
        <f t="shared" si="7"/>
        <v>16.03975</v>
      </c>
      <c r="K49" s="55">
        <f t="shared" si="12"/>
        <v>1.603975</v>
      </c>
      <c r="L49" s="36">
        <f t="shared" si="8"/>
        <v>18</v>
      </c>
      <c r="M49" s="99"/>
      <c r="N49" s="57">
        <f t="shared" si="9"/>
        <v>4.14666666666667</v>
      </c>
      <c r="O49" s="57">
        <f t="shared" si="10"/>
        <v>8.553125</v>
      </c>
      <c r="P49" s="57">
        <f t="shared" si="11"/>
        <v>0.666666666666667</v>
      </c>
      <c r="Q49" s="57">
        <f t="shared" si="3"/>
        <v>13.3664583333333</v>
      </c>
      <c r="R49" s="58">
        <v>15</v>
      </c>
      <c r="S49" s="59"/>
    </row>
    <row r="50" ht="43.5" spans="1:19">
      <c r="A50" s="87" t="s">
        <v>189</v>
      </c>
      <c r="B50" s="70" t="s">
        <v>190</v>
      </c>
      <c r="C50" s="70" t="s">
        <v>184</v>
      </c>
      <c r="D50" s="88" t="s">
        <v>185</v>
      </c>
      <c r="E50" s="52" t="s">
        <v>186</v>
      </c>
      <c r="F50" s="53" t="s">
        <v>47</v>
      </c>
      <c r="G50" s="55">
        <v>5.04</v>
      </c>
      <c r="H50" s="55">
        <v>7.60725</v>
      </c>
      <c r="I50" s="55">
        <v>0.8</v>
      </c>
      <c r="J50" s="55">
        <f t="shared" si="7"/>
        <v>13.44725</v>
      </c>
      <c r="K50" s="55">
        <f t="shared" si="12"/>
        <v>1.344725</v>
      </c>
      <c r="L50" s="36">
        <f t="shared" si="8"/>
        <v>15</v>
      </c>
      <c r="M50" s="99"/>
      <c r="N50" s="57">
        <f t="shared" si="9"/>
        <v>4.368</v>
      </c>
      <c r="O50" s="57">
        <f t="shared" si="10"/>
        <v>6.59295</v>
      </c>
      <c r="P50" s="57">
        <f t="shared" si="11"/>
        <v>0.693333333333333</v>
      </c>
      <c r="Q50" s="57">
        <f t="shared" si="3"/>
        <v>11.6542833333333</v>
      </c>
      <c r="R50" s="58">
        <v>13</v>
      </c>
      <c r="S50" s="59"/>
    </row>
    <row r="51" ht="58" spans="1:19">
      <c r="A51" s="87" t="s">
        <v>191</v>
      </c>
      <c r="B51" s="70" t="s">
        <v>192</v>
      </c>
      <c r="C51" s="70" t="s">
        <v>193</v>
      </c>
      <c r="D51" s="88" t="s">
        <v>185</v>
      </c>
      <c r="E51" s="52" t="s">
        <v>194</v>
      </c>
      <c r="F51" s="100" t="s">
        <v>195</v>
      </c>
      <c r="G51" s="55"/>
      <c r="H51" s="55"/>
      <c r="I51" s="55"/>
      <c r="J51" s="55"/>
      <c r="K51" s="55">
        <f t="shared" si="12"/>
        <v>0</v>
      </c>
      <c r="L51" s="101" t="s">
        <v>196</v>
      </c>
      <c r="M51" s="99"/>
      <c r="N51" s="57"/>
      <c r="O51" s="57"/>
      <c r="P51" s="57"/>
      <c r="Q51" s="57">
        <f t="shared" si="3"/>
        <v>0</v>
      </c>
      <c r="R51" s="58">
        <v>250</v>
      </c>
      <c r="S51" s="59"/>
    </row>
    <row r="52" ht="72.5" spans="1:19">
      <c r="A52" s="87" t="s">
        <v>197</v>
      </c>
      <c r="B52" s="70" t="s">
        <v>198</v>
      </c>
      <c r="C52" s="70" t="s">
        <v>199</v>
      </c>
      <c r="D52" s="88" t="s">
        <v>185</v>
      </c>
      <c r="E52" s="52" t="s">
        <v>200</v>
      </c>
      <c r="F52" s="53" t="s">
        <v>47</v>
      </c>
      <c r="G52" s="55">
        <v>29.744</v>
      </c>
      <c r="H52" s="55">
        <v>14.2264815</v>
      </c>
      <c r="I52" s="55">
        <v>2</v>
      </c>
      <c r="J52" s="55">
        <f t="shared" ref="J52:J71" si="13">G52+H52+I52</f>
        <v>45.9704815</v>
      </c>
      <c r="K52" s="55">
        <f t="shared" si="12"/>
        <v>4.59704815</v>
      </c>
      <c r="L52" s="36">
        <f t="shared" ref="L52:L71" si="14">ROUND((J52+K52),0)</f>
        <v>51</v>
      </c>
      <c r="M52" s="99"/>
      <c r="N52" s="57">
        <f t="shared" ref="N52:N71" si="15">+R52/L52*G52</f>
        <v>27.9943529411765</v>
      </c>
      <c r="O52" s="57">
        <f t="shared" ref="O52:O71" si="16">+R52/L52*H52</f>
        <v>13.3896296470588</v>
      </c>
      <c r="P52" s="57">
        <f t="shared" ref="P52:P71" si="17">+R52/L52*I52</f>
        <v>1.88235294117647</v>
      </c>
      <c r="Q52" s="57">
        <f t="shared" si="3"/>
        <v>43.2663355294118</v>
      </c>
      <c r="R52" s="58">
        <v>48</v>
      </c>
      <c r="S52" s="59"/>
    </row>
    <row r="53" ht="72.5" spans="1:19">
      <c r="A53" s="87" t="s">
        <v>201</v>
      </c>
      <c r="B53" s="70" t="s">
        <v>202</v>
      </c>
      <c r="C53" s="70" t="s">
        <v>199</v>
      </c>
      <c r="D53" s="88" t="s">
        <v>185</v>
      </c>
      <c r="E53" s="52" t="s">
        <v>203</v>
      </c>
      <c r="F53" s="53" t="s">
        <v>47</v>
      </c>
      <c r="G53" s="55">
        <v>29.744</v>
      </c>
      <c r="H53" s="55">
        <v>14.2264815</v>
      </c>
      <c r="I53" s="55">
        <v>2</v>
      </c>
      <c r="J53" s="55">
        <f t="shared" si="13"/>
        <v>45.9704815</v>
      </c>
      <c r="K53" s="55">
        <f t="shared" si="12"/>
        <v>4.59704815</v>
      </c>
      <c r="L53" s="36">
        <f t="shared" si="14"/>
        <v>51</v>
      </c>
      <c r="M53" s="99"/>
      <c r="N53" s="57">
        <f t="shared" si="15"/>
        <v>27.9943529411765</v>
      </c>
      <c r="O53" s="57">
        <f t="shared" si="16"/>
        <v>13.3896296470588</v>
      </c>
      <c r="P53" s="57">
        <f t="shared" si="17"/>
        <v>1.88235294117647</v>
      </c>
      <c r="Q53" s="57">
        <f t="shared" si="3"/>
        <v>43.2663355294118</v>
      </c>
      <c r="R53" s="58">
        <v>48</v>
      </c>
      <c r="S53" s="59"/>
    </row>
    <row r="54" ht="72.5" spans="1:19">
      <c r="A54" s="87" t="s">
        <v>204</v>
      </c>
      <c r="B54" s="70" t="s">
        <v>202</v>
      </c>
      <c r="C54" s="70" t="s">
        <v>205</v>
      </c>
      <c r="D54" s="88" t="s">
        <v>185</v>
      </c>
      <c r="E54" s="52" t="s">
        <v>203</v>
      </c>
      <c r="F54" s="53" t="s">
        <v>47</v>
      </c>
      <c r="G54" s="55">
        <v>29.744</v>
      </c>
      <c r="H54" s="55">
        <v>22.349481</v>
      </c>
      <c r="I54" s="55">
        <v>2</v>
      </c>
      <c r="J54" s="55">
        <f t="shared" si="13"/>
        <v>54.093481</v>
      </c>
      <c r="K54" s="55">
        <f t="shared" si="12"/>
        <v>5.4093481</v>
      </c>
      <c r="L54" s="36">
        <f t="shared" si="14"/>
        <v>60</v>
      </c>
      <c r="M54" s="99"/>
      <c r="N54" s="57">
        <f t="shared" si="15"/>
        <v>27.2653333333333</v>
      </c>
      <c r="O54" s="57">
        <f t="shared" si="16"/>
        <v>20.48702425</v>
      </c>
      <c r="P54" s="57">
        <f t="shared" si="17"/>
        <v>1.83333333333333</v>
      </c>
      <c r="Q54" s="57">
        <f t="shared" si="3"/>
        <v>49.5856909166667</v>
      </c>
      <c r="R54" s="58">
        <v>55</v>
      </c>
      <c r="S54" s="59"/>
    </row>
    <row r="55" ht="72.5" spans="1:19">
      <c r="A55" s="87" t="s">
        <v>206</v>
      </c>
      <c r="B55" s="70" t="s">
        <v>207</v>
      </c>
      <c r="C55" s="70" t="s">
        <v>199</v>
      </c>
      <c r="D55" s="88" t="s">
        <v>185</v>
      </c>
      <c r="E55" s="52" t="s">
        <v>203</v>
      </c>
      <c r="F55" s="53" t="s">
        <v>47</v>
      </c>
      <c r="G55" s="55">
        <v>40.832</v>
      </c>
      <c r="H55" s="55">
        <v>15.385965</v>
      </c>
      <c r="I55" s="55">
        <v>2.5</v>
      </c>
      <c r="J55" s="55">
        <f t="shared" si="13"/>
        <v>58.717965</v>
      </c>
      <c r="K55" s="55">
        <f t="shared" si="12"/>
        <v>5.8717965</v>
      </c>
      <c r="L55" s="36">
        <f t="shared" si="14"/>
        <v>65</v>
      </c>
      <c r="M55" s="99"/>
      <c r="N55" s="57">
        <f t="shared" si="15"/>
        <v>38.3192615384615</v>
      </c>
      <c r="O55" s="57">
        <f t="shared" si="16"/>
        <v>14.4391363846154</v>
      </c>
      <c r="P55" s="57">
        <f t="shared" si="17"/>
        <v>2.34615384615385</v>
      </c>
      <c r="Q55" s="57">
        <f t="shared" si="3"/>
        <v>55.1045517692308</v>
      </c>
      <c r="R55" s="58">
        <v>61</v>
      </c>
      <c r="S55" s="59"/>
    </row>
    <row r="56" ht="72.5" spans="1:19">
      <c r="A56" s="87" t="s">
        <v>208</v>
      </c>
      <c r="B56" s="70" t="s">
        <v>207</v>
      </c>
      <c r="C56" s="70" t="s">
        <v>205</v>
      </c>
      <c r="D56" s="88" t="s">
        <v>185</v>
      </c>
      <c r="E56" s="52" t="s">
        <v>203</v>
      </c>
      <c r="F56" s="53" t="s">
        <v>47</v>
      </c>
      <c r="G56" s="55">
        <v>45.232</v>
      </c>
      <c r="H56" s="55">
        <v>27.432045375</v>
      </c>
      <c r="I56" s="55">
        <v>2.5</v>
      </c>
      <c r="J56" s="55">
        <f t="shared" si="13"/>
        <v>75.164045375</v>
      </c>
      <c r="K56" s="55">
        <f t="shared" si="12"/>
        <v>7.5164045375</v>
      </c>
      <c r="L56" s="36">
        <f t="shared" si="14"/>
        <v>83</v>
      </c>
      <c r="M56" s="99"/>
      <c r="N56" s="57">
        <f t="shared" si="15"/>
        <v>43.5971084337349</v>
      </c>
      <c r="O56" s="57">
        <f t="shared" si="16"/>
        <v>26.4405256626506</v>
      </c>
      <c r="P56" s="57">
        <f t="shared" si="17"/>
        <v>2.40963855421687</v>
      </c>
      <c r="Q56" s="57">
        <f t="shared" si="3"/>
        <v>72.4472726506024</v>
      </c>
      <c r="R56" s="58">
        <v>80</v>
      </c>
      <c r="S56" s="59"/>
    </row>
    <row r="57" ht="58" spans="1:19">
      <c r="A57" s="87" t="s">
        <v>209</v>
      </c>
      <c r="B57" s="70" t="s">
        <v>210</v>
      </c>
      <c r="C57" s="70" t="s">
        <v>211</v>
      </c>
      <c r="D57" s="88" t="s">
        <v>185</v>
      </c>
      <c r="E57" s="52" t="s">
        <v>203</v>
      </c>
      <c r="F57" s="53" t="s">
        <v>47</v>
      </c>
      <c r="G57" s="55">
        <v>55.088</v>
      </c>
      <c r="H57" s="55">
        <v>17.98196925</v>
      </c>
      <c r="I57" s="55">
        <v>2.5</v>
      </c>
      <c r="J57" s="55">
        <f t="shared" si="13"/>
        <v>75.56996925</v>
      </c>
      <c r="K57" s="55">
        <f t="shared" si="12"/>
        <v>7.556996925</v>
      </c>
      <c r="L57" s="36">
        <f t="shared" si="14"/>
        <v>83</v>
      </c>
      <c r="M57" s="99"/>
      <c r="N57" s="57">
        <f t="shared" si="15"/>
        <v>53.760578313253</v>
      </c>
      <c r="O57" s="57">
        <f t="shared" si="16"/>
        <v>17.5486687861446</v>
      </c>
      <c r="P57" s="57">
        <f t="shared" si="17"/>
        <v>2.43975903614458</v>
      </c>
      <c r="Q57" s="57">
        <f t="shared" si="3"/>
        <v>73.7490061355422</v>
      </c>
      <c r="R57" s="58">
        <v>81</v>
      </c>
      <c r="S57" s="59"/>
    </row>
    <row r="58" ht="116" spans="1:19">
      <c r="A58" s="87" t="s">
        <v>212</v>
      </c>
      <c r="B58" s="70" t="s">
        <v>213</v>
      </c>
      <c r="C58" s="70" t="s">
        <v>214</v>
      </c>
      <c r="D58" s="88" t="s">
        <v>156</v>
      </c>
      <c r="E58" s="88" t="s">
        <v>215</v>
      </c>
      <c r="F58" s="53" t="s">
        <v>24</v>
      </c>
      <c r="G58" s="55">
        <v>150.08</v>
      </c>
      <c r="H58" s="55">
        <v>100.69199532</v>
      </c>
      <c r="I58" s="55">
        <v>10</v>
      </c>
      <c r="J58" s="55">
        <f t="shared" si="13"/>
        <v>260.77199532</v>
      </c>
      <c r="K58" s="55">
        <f t="shared" si="12"/>
        <v>26.077199532</v>
      </c>
      <c r="L58" s="36">
        <f t="shared" si="14"/>
        <v>287</v>
      </c>
      <c r="M58" s="89"/>
      <c r="N58" s="57">
        <f t="shared" si="15"/>
        <v>104.585365853659</v>
      </c>
      <c r="O58" s="57">
        <f t="shared" si="16"/>
        <v>70.1686378536585</v>
      </c>
      <c r="P58" s="57">
        <f t="shared" si="17"/>
        <v>6.96864111498258</v>
      </c>
      <c r="Q58" s="57">
        <f t="shared" si="3"/>
        <v>181.7226448223</v>
      </c>
      <c r="R58" s="102">
        <v>200</v>
      </c>
      <c r="S58" s="59"/>
    </row>
    <row r="59" ht="116" spans="1:19">
      <c r="A59" s="87" t="s">
        <v>216</v>
      </c>
      <c r="B59" s="70" t="s">
        <v>217</v>
      </c>
      <c r="C59" s="70" t="s">
        <v>214</v>
      </c>
      <c r="D59" s="88" t="s">
        <v>156</v>
      </c>
      <c r="E59" s="88"/>
      <c r="F59" s="53" t="s">
        <v>24</v>
      </c>
      <c r="G59" s="55">
        <v>180</v>
      </c>
      <c r="H59" s="55">
        <v>90.581843</v>
      </c>
      <c r="I59" s="55">
        <v>12</v>
      </c>
      <c r="J59" s="55">
        <f t="shared" si="13"/>
        <v>282.581843</v>
      </c>
      <c r="K59" s="55">
        <f t="shared" si="12"/>
        <v>28.2581843</v>
      </c>
      <c r="L59" s="36">
        <f t="shared" si="14"/>
        <v>311</v>
      </c>
      <c r="M59" s="89"/>
      <c r="N59" s="57">
        <f t="shared" si="15"/>
        <v>127.331189710611</v>
      </c>
      <c r="O59" s="57">
        <f t="shared" si="16"/>
        <v>64.0771879742765</v>
      </c>
      <c r="P59" s="57">
        <f t="shared" si="17"/>
        <v>8.4887459807074</v>
      </c>
      <c r="Q59" s="57">
        <f t="shared" si="3"/>
        <v>199.897123665595</v>
      </c>
      <c r="R59" s="102">
        <v>220</v>
      </c>
      <c r="S59" s="59"/>
    </row>
    <row r="60" ht="116" spans="1:19">
      <c r="A60" s="87" t="s">
        <v>218</v>
      </c>
      <c r="B60" s="70" t="s">
        <v>219</v>
      </c>
      <c r="C60" s="70" t="s">
        <v>214</v>
      </c>
      <c r="D60" s="88" t="s">
        <v>156</v>
      </c>
      <c r="E60" s="88"/>
      <c r="F60" s="53" t="s">
        <v>24</v>
      </c>
      <c r="G60" s="55">
        <v>180</v>
      </c>
      <c r="H60" s="55">
        <v>90.581843</v>
      </c>
      <c r="I60" s="55">
        <v>12</v>
      </c>
      <c r="J60" s="55">
        <f t="shared" si="13"/>
        <v>282.581843</v>
      </c>
      <c r="K60" s="55">
        <f t="shared" si="12"/>
        <v>28.2581843</v>
      </c>
      <c r="L60" s="36">
        <f t="shared" si="14"/>
        <v>311</v>
      </c>
      <c r="M60" s="89"/>
      <c r="N60" s="57">
        <f t="shared" si="15"/>
        <v>133.118971061093</v>
      </c>
      <c r="O60" s="57">
        <f t="shared" si="16"/>
        <v>66.9897874276527</v>
      </c>
      <c r="P60" s="57">
        <f t="shared" si="17"/>
        <v>8.87459807073955</v>
      </c>
      <c r="Q60" s="57">
        <f t="shared" si="3"/>
        <v>208.983356559486</v>
      </c>
      <c r="R60" s="102">
        <v>230</v>
      </c>
      <c r="S60" s="59"/>
    </row>
    <row r="61" ht="78" spans="1:19">
      <c r="A61" s="87" t="s">
        <v>220</v>
      </c>
      <c r="B61" s="70" t="s">
        <v>221</v>
      </c>
      <c r="C61" s="70" t="s">
        <v>222</v>
      </c>
      <c r="D61" s="88" t="s">
        <v>156</v>
      </c>
      <c r="E61" s="52" t="s">
        <v>223</v>
      </c>
      <c r="F61" s="53" t="s">
        <v>24</v>
      </c>
      <c r="G61" s="55">
        <v>54.08</v>
      </c>
      <c r="H61" s="79">
        <v>44.47645125</v>
      </c>
      <c r="I61" s="103">
        <v>2</v>
      </c>
      <c r="J61" s="55">
        <f t="shared" si="13"/>
        <v>100.55645125</v>
      </c>
      <c r="K61" s="55">
        <f t="shared" si="12"/>
        <v>10.055645125</v>
      </c>
      <c r="L61" s="36">
        <f t="shared" si="14"/>
        <v>111</v>
      </c>
      <c r="M61" s="99"/>
      <c r="N61" s="57">
        <f t="shared" si="15"/>
        <v>52.6183783783784</v>
      </c>
      <c r="O61" s="57">
        <f t="shared" si="16"/>
        <v>43.274385</v>
      </c>
      <c r="P61" s="57">
        <f t="shared" si="17"/>
        <v>1.94594594594595</v>
      </c>
      <c r="Q61" s="57">
        <f t="shared" si="3"/>
        <v>97.8387093243243</v>
      </c>
      <c r="R61" s="58">
        <v>108</v>
      </c>
      <c r="S61" s="59"/>
    </row>
    <row r="62" ht="43.5" spans="1:19">
      <c r="A62" s="87" t="s">
        <v>224</v>
      </c>
      <c r="B62" s="70" t="s">
        <v>225</v>
      </c>
      <c r="C62" s="70" t="s">
        <v>226</v>
      </c>
      <c r="D62" s="88" t="s">
        <v>156</v>
      </c>
      <c r="E62" s="52" t="s">
        <v>226</v>
      </c>
      <c r="F62" s="53" t="s">
        <v>24</v>
      </c>
      <c r="G62" s="55">
        <v>42</v>
      </c>
      <c r="H62" s="79"/>
      <c r="I62" s="103">
        <v>8</v>
      </c>
      <c r="J62" s="55">
        <f t="shared" si="13"/>
        <v>50</v>
      </c>
      <c r="K62" s="55">
        <f t="shared" si="12"/>
        <v>5</v>
      </c>
      <c r="L62" s="36">
        <f t="shared" si="14"/>
        <v>55</v>
      </c>
      <c r="M62" s="99"/>
      <c r="N62" s="57">
        <f t="shared" si="15"/>
        <v>34.3636363636364</v>
      </c>
      <c r="O62" s="57">
        <f t="shared" si="16"/>
        <v>0</v>
      </c>
      <c r="P62" s="57">
        <f t="shared" si="17"/>
        <v>6.54545454545455</v>
      </c>
      <c r="Q62" s="57">
        <f t="shared" si="3"/>
        <v>40.9090909090909</v>
      </c>
      <c r="R62" s="58">
        <v>45</v>
      </c>
      <c r="S62" s="59"/>
    </row>
    <row r="63" ht="29" spans="1:19">
      <c r="A63" s="87" t="s">
        <v>227</v>
      </c>
      <c r="B63" s="70" t="s">
        <v>228</v>
      </c>
      <c r="C63" s="71"/>
      <c r="D63" s="88" t="s">
        <v>185</v>
      </c>
      <c r="E63" s="88" t="s">
        <v>229</v>
      </c>
      <c r="F63" s="53" t="s">
        <v>47</v>
      </c>
      <c r="G63" s="55">
        <v>21.12</v>
      </c>
      <c r="H63" s="55">
        <v>117.251505</v>
      </c>
      <c r="I63" s="55">
        <v>1</v>
      </c>
      <c r="J63" s="55">
        <f t="shared" si="13"/>
        <v>139.371505</v>
      </c>
      <c r="K63" s="55">
        <f t="shared" si="12"/>
        <v>13.9371505</v>
      </c>
      <c r="L63" s="36">
        <f t="shared" si="14"/>
        <v>153</v>
      </c>
      <c r="M63" s="99" t="s">
        <v>230</v>
      </c>
      <c r="N63" s="57">
        <f t="shared" si="15"/>
        <v>17.9450980392157</v>
      </c>
      <c r="O63" s="57">
        <f t="shared" si="16"/>
        <v>99.6254617647059</v>
      </c>
      <c r="P63" s="57">
        <f t="shared" si="17"/>
        <v>0.849673202614379</v>
      </c>
      <c r="Q63" s="57">
        <f t="shared" si="3"/>
        <v>118.420233006536</v>
      </c>
      <c r="R63" s="58">
        <v>130</v>
      </c>
      <c r="S63" s="59"/>
    </row>
    <row r="64" ht="58" spans="1:19">
      <c r="A64" s="87" t="s">
        <v>231</v>
      </c>
      <c r="B64" s="70" t="s">
        <v>232</v>
      </c>
      <c r="C64" s="70" t="s">
        <v>233</v>
      </c>
      <c r="D64" s="88" t="s">
        <v>185</v>
      </c>
      <c r="E64" s="52" t="s">
        <v>234</v>
      </c>
      <c r="F64" s="53" t="s">
        <v>47</v>
      </c>
      <c r="G64" s="55">
        <v>15</v>
      </c>
      <c r="H64" s="55">
        <v>15.5825</v>
      </c>
      <c r="I64" s="55">
        <v>2</v>
      </c>
      <c r="J64" s="55">
        <f t="shared" si="13"/>
        <v>32.5825</v>
      </c>
      <c r="K64" s="55">
        <f t="shared" si="12"/>
        <v>3.25825</v>
      </c>
      <c r="L64" s="36">
        <f t="shared" si="14"/>
        <v>36</v>
      </c>
      <c r="M64" s="99" t="s">
        <v>235</v>
      </c>
      <c r="N64" s="57">
        <f t="shared" si="15"/>
        <v>11.6666666666667</v>
      </c>
      <c r="O64" s="57">
        <f t="shared" si="16"/>
        <v>12.1197222222222</v>
      </c>
      <c r="P64" s="57">
        <f t="shared" si="17"/>
        <v>1.55555555555556</v>
      </c>
      <c r="Q64" s="57">
        <f t="shared" si="3"/>
        <v>25.3419444444444</v>
      </c>
      <c r="R64" s="58">
        <v>28</v>
      </c>
      <c r="S64" s="59"/>
    </row>
    <row r="65" ht="78" spans="1:19">
      <c r="A65" s="87" t="s">
        <v>236</v>
      </c>
      <c r="B65" s="70" t="s">
        <v>237</v>
      </c>
      <c r="C65" s="70" t="s">
        <v>238</v>
      </c>
      <c r="D65" s="88" t="s">
        <v>156</v>
      </c>
      <c r="E65" s="52" t="s">
        <v>239</v>
      </c>
      <c r="F65" s="53" t="s">
        <v>24</v>
      </c>
      <c r="G65" s="55">
        <v>76.96</v>
      </c>
      <c r="H65" s="79">
        <v>303.6</v>
      </c>
      <c r="I65" s="55">
        <v>65.55</v>
      </c>
      <c r="J65" s="55">
        <f t="shared" si="13"/>
        <v>446.11</v>
      </c>
      <c r="K65" s="55">
        <f t="shared" si="12"/>
        <v>44.611</v>
      </c>
      <c r="L65" s="36">
        <f t="shared" si="14"/>
        <v>491</v>
      </c>
      <c r="M65" s="99"/>
      <c r="N65" s="57">
        <f t="shared" si="15"/>
        <v>65.8313645621181</v>
      </c>
      <c r="O65" s="57">
        <f t="shared" si="16"/>
        <v>259.698574338086</v>
      </c>
      <c r="P65" s="57">
        <f t="shared" si="17"/>
        <v>56.071283095723</v>
      </c>
      <c r="Q65" s="57">
        <f t="shared" si="3"/>
        <v>381.601221995927</v>
      </c>
      <c r="R65" s="58">
        <v>420</v>
      </c>
      <c r="S65" s="59"/>
    </row>
    <row r="66" ht="43.5" spans="1:19">
      <c r="A66" s="87" t="s">
        <v>240</v>
      </c>
      <c r="B66" s="70" t="s">
        <v>241</v>
      </c>
      <c r="C66" s="70" t="s">
        <v>242</v>
      </c>
      <c r="D66" s="88" t="s">
        <v>243</v>
      </c>
      <c r="E66" s="88"/>
      <c r="F66" s="100" t="s">
        <v>150</v>
      </c>
      <c r="G66" s="55"/>
      <c r="H66" s="79">
        <v>50</v>
      </c>
      <c r="I66" s="103">
        <v>0.2852</v>
      </c>
      <c r="J66" s="55">
        <f t="shared" si="13"/>
        <v>50.2852</v>
      </c>
      <c r="K66" s="55">
        <f t="shared" si="12"/>
        <v>5.02852</v>
      </c>
      <c r="L66" s="36">
        <f t="shared" si="14"/>
        <v>55</v>
      </c>
      <c r="M66" s="99"/>
      <c r="N66" s="57">
        <f t="shared" si="15"/>
        <v>0</v>
      </c>
      <c r="O66" s="57">
        <f t="shared" si="16"/>
        <v>45.4545454545455</v>
      </c>
      <c r="P66" s="57">
        <f t="shared" si="17"/>
        <v>0.259272727272727</v>
      </c>
      <c r="Q66" s="57">
        <f t="shared" si="3"/>
        <v>45.7138181818182</v>
      </c>
      <c r="R66" s="58">
        <v>50</v>
      </c>
      <c r="S66" s="59"/>
    </row>
    <row r="67" ht="58" spans="1:19">
      <c r="A67" s="87" t="s">
        <v>244</v>
      </c>
      <c r="B67" s="70" t="s">
        <v>245</v>
      </c>
      <c r="C67" s="70" t="s">
        <v>246</v>
      </c>
      <c r="D67" s="88" t="s">
        <v>247</v>
      </c>
      <c r="E67" s="88"/>
      <c r="F67" s="53" t="s">
        <v>24</v>
      </c>
      <c r="G67" s="55">
        <v>54.08</v>
      </c>
      <c r="H67" s="79">
        <v>44.47645125</v>
      </c>
      <c r="I67" s="103">
        <v>2</v>
      </c>
      <c r="J67" s="55">
        <f t="shared" si="13"/>
        <v>100.55645125</v>
      </c>
      <c r="K67" s="55">
        <f t="shared" si="12"/>
        <v>10.055645125</v>
      </c>
      <c r="L67" s="36">
        <f t="shared" si="14"/>
        <v>111</v>
      </c>
      <c r="M67" s="99"/>
      <c r="N67" s="57">
        <f t="shared" si="15"/>
        <v>52.6183783783784</v>
      </c>
      <c r="O67" s="57">
        <f t="shared" si="16"/>
        <v>43.274385</v>
      </c>
      <c r="P67" s="57">
        <f t="shared" si="17"/>
        <v>1.94594594594595</v>
      </c>
      <c r="Q67" s="57">
        <f t="shared" si="3"/>
        <v>97.8387093243243</v>
      </c>
      <c r="R67" s="58">
        <v>108</v>
      </c>
      <c r="S67" s="59"/>
    </row>
    <row r="68" ht="101.5" spans="1:19">
      <c r="A68" s="87" t="s">
        <v>248</v>
      </c>
      <c r="B68" s="70" t="s">
        <v>249</v>
      </c>
      <c r="C68" s="104" t="s">
        <v>250</v>
      </c>
      <c r="D68" s="71" t="s">
        <v>156</v>
      </c>
      <c r="E68" s="104" t="s">
        <v>251</v>
      </c>
      <c r="F68" s="53" t="s">
        <v>24</v>
      </c>
      <c r="G68" s="55">
        <v>18.144</v>
      </c>
      <c r="H68" s="55">
        <v>145</v>
      </c>
      <c r="I68" s="103">
        <v>5</v>
      </c>
      <c r="J68" s="103">
        <f t="shared" si="13"/>
        <v>168.144</v>
      </c>
      <c r="K68" s="55">
        <f t="shared" si="12"/>
        <v>16.8144</v>
      </c>
      <c r="L68" s="101">
        <f t="shared" si="14"/>
        <v>185</v>
      </c>
      <c r="M68" s="105" t="s">
        <v>252</v>
      </c>
      <c r="N68" s="57">
        <f t="shared" si="15"/>
        <v>18.6343783783784</v>
      </c>
      <c r="O68" s="57">
        <f t="shared" si="16"/>
        <v>148.918918918919</v>
      </c>
      <c r="P68" s="57">
        <f t="shared" si="17"/>
        <v>5.13513513513514</v>
      </c>
      <c r="Q68" s="57">
        <f t="shared" si="3"/>
        <v>172.688432432432</v>
      </c>
      <c r="R68" s="102">
        <v>190</v>
      </c>
      <c r="S68" s="59"/>
    </row>
    <row r="69" ht="101.5" spans="1:19">
      <c r="A69" s="87" t="s">
        <v>253</v>
      </c>
      <c r="B69" s="70" t="s">
        <v>254</v>
      </c>
      <c r="C69" s="104" t="s">
        <v>255</v>
      </c>
      <c r="D69" s="71" t="s">
        <v>156</v>
      </c>
      <c r="E69" s="104" t="s">
        <v>251</v>
      </c>
      <c r="F69" s="53" t="s">
        <v>24</v>
      </c>
      <c r="G69" s="55">
        <v>18.144</v>
      </c>
      <c r="H69" s="55">
        <v>135</v>
      </c>
      <c r="I69" s="103">
        <v>5</v>
      </c>
      <c r="J69" s="103">
        <f t="shared" si="13"/>
        <v>158.144</v>
      </c>
      <c r="K69" s="55">
        <f t="shared" si="12"/>
        <v>15.8144</v>
      </c>
      <c r="L69" s="101">
        <f t="shared" si="14"/>
        <v>174</v>
      </c>
      <c r="M69" s="105" t="s">
        <v>256</v>
      </c>
      <c r="N69" s="57">
        <f t="shared" si="15"/>
        <v>17.7268965517241</v>
      </c>
      <c r="O69" s="57">
        <f t="shared" si="16"/>
        <v>131.896551724138</v>
      </c>
      <c r="P69" s="57">
        <f t="shared" si="17"/>
        <v>4.88505747126437</v>
      </c>
      <c r="Q69" s="57">
        <f t="shared" si="3"/>
        <v>154.508505747126</v>
      </c>
      <c r="R69" s="102">
        <v>170</v>
      </c>
      <c r="S69" s="59"/>
    </row>
    <row r="70" ht="101.5" spans="1:19">
      <c r="A70" s="87" t="s">
        <v>257</v>
      </c>
      <c r="B70" s="70" t="s">
        <v>249</v>
      </c>
      <c r="C70" s="104" t="s">
        <v>258</v>
      </c>
      <c r="D70" s="71" t="s">
        <v>156</v>
      </c>
      <c r="E70" s="104" t="s">
        <v>251</v>
      </c>
      <c r="F70" s="53" t="s">
        <v>24</v>
      </c>
      <c r="G70" s="55">
        <v>18.144</v>
      </c>
      <c r="H70" s="55">
        <v>131</v>
      </c>
      <c r="I70" s="103">
        <v>5</v>
      </c>
      <c r="J70" s="103">
        <f t="shared" si="13"/>
        <v>154.144</v>
      </c>
      <c r="K70" s="55">
        <f t="shared" si="12"/>
        <v>15.4144</v>
      </c>
      <c r="L70" s="101">
        <f t="shared" si="14"/>
        <v>170</v>
      </c>
      <c r="M70" s="105" t="s">
        <v>259</v>
      </c>
      <c r="N70" s="57">
        <f t="shared" si="15"/>
        <v>16.0094117647059</v>
      </c>
      <c r="O70" s="57">
        <f t="shared" si="16"/>
        <v>115.588235294118</v>
      </c>
      <c r="P70" s="57">
        <f t="shared" si="17"/>
        <v>4.41176470588235</v>
      </c>
      <c r="Q70" s="57">
        <f t="shared" si="3"/>
        <v>136.009411764706</v>
      </c>
      <c r="R70" s="102">
        <v>150</v>
      </c>
      <c r="S70" s="59"/>
    </row>
    <row r="71" ht="101.5" spans="1:19">
      <c r="A71" s="87" t="s">
        <v>260</v>
      </c>
      <c r="B71" s="70" t="s">
        <v>254</v>
      </c>
      <c r="C71" s="104" t="s">
        <v>261</v>
      </c>
      <c r="D71" s="71" t="s">
        <v>156</v>
      </c>
      <c r="E71" s="104" t="s">
        <v>251</v>
      </c>
      <c r="F71" s="53" t="s">
        <v>24</v>
      </c>
      <c r="G71" s="55">
        <v>18.144</v>
      </c>
      <c r="H71" s="55">
        <v>120</v>
      </c>
      <c r="I71" s="79">
        <v>5</v>
      </c>
      <c r="J71" s="79">
        <f t="shared" si="13"/>
        <v>143.144</v>
      </c>
      <c r="K71" s="55">
        <f t="shared" si="12"/>
        <v>14.3144</v>
      </c>
      <c r="L71" s="101">
        <f t="shared" si="14"/>
        <v>157</v>
      </c>
      <c r="M71" s="105" t="s">
        <v>262</v>
      </c>
      <c r="N71" s="57">
        <f t="shared" si="15"/>
        <v>16.1793630573248</v>
      </c>
      <c r="O71" s="57">
        <f t="shared" si="16"/>
        <v>107.006369426752</v>
      </c>
      <c r="P71" s="57">
        <f t="shared" si="17"/>
        <v>4.45859872611465</v>
      </c>
      <c r="Q71" s="57">
        <f t="shared" ref="Q71:Q134" si="18">SUM(N71:P71)</f>
        <v>127.644331210191</v>
      </c>
      <c r="R71" s="102">
        <v>140</v>
      </c>
      <c r="S71" s="59"/>
    </row>
    <row r="72" s="14" customFormat="1" ht="22.5" customHeight="1" spans="1:19">
      <c r="A72" s="80" t="s">
        <v>263</v>
      </c>
      <c r="B72" s="81"/>
      <c r="C72" s="82"/>
      <c r="D72" s="83"/>
      <c r="E72" s="83"/>
      <c r="F72" s="83"/>
      <c r="G72" s="83"/>
      <c r="H72" s="83"/>
      <c r="I72" s="83"/>
      <c r="J72" s="83"/>
      <c r="K72" s="83"/>
      <c r="L72" s="83"/>
      <c r="M72" s="84"/>
      <c r="N72" s="57"/>
      <c r="O72" s="57"/>
      <c r="P72" s="57"/>
      <c r="Q72" s="57">
        <f t="shared" si="18"/>
        <v>0</v>
      </c>
      <c r="R72" s="85"/>
      <c r="S72" s="86"/>
    </row>
    <row r="73" customHeight="1" spans="1:19">
      <c r="A73" s="106" t="s">
        <v>264</v>
      </c>
      <c r="B73" s="107" t="s">
        <v>265</v>
      </c>
      <c r="C73" s="108"/>
      <c r="D73" s="109"/>
      <c r="E73" s="109"/>
      <c r="F73" s="109"/>
      <c r="G73" s="109"/>
      <c r="H73" s="109"/>
      <c r="I73" s="109"/>
      <c r="J73" s="109"/>
      <c r="K73" s="109"/>
      <c r="L73" s="109"/>
      <c r="M73" s="110"/>
      <c r="N73" s="57"/>
      <c r="O73" s="57"/>
      <c r="P73" s="57"/>
      <c r="Q73" s="57">
        <f t="shared" si="18"/>
        <v>0</v>
      </c>
      <c r="R73" s="58"/>
      <c r="S73" s="59"/>
    </row>
    <row r="74" ht="52" spans="1:19">
      <c r="A74" s="87" t="s">
        <v>266</v>
      </c>
      <c r="B74" s="68" t="s">
        <v>267</v>
      </c>
      <c r="C74" s="64" t="s">
        <v>268</v>
      </c>
      <c r="D74" s="68" t="s">
        <v>185</v>
      </c>
      <c r="E74" s="70" t="s">
        <v>269</v>
      </c>
      <c r="F74" s="69" t="s">
        <v>47</v>
      </c>
      <c r="G74" s="79">
        <v>16.5088</v>
      </c>
      <c r="H74" s="79">
        <v>10.5766815</v>
      </c>
      <c r="I74" s="79">
        <v>1.5</v>
      </c>
      <c r="J74" s="79">
        <f t="shared" ref="J74:J104" si="19">G74+H74+I74</f>
        <v>28.5854815</v>
      </c>
      <c r="K74" s="79">
        <f>J74*0.1</f>
        <v>2.85854815</v>
      </c>
      <c r="L74" s="101">
        <f t="shared" ref="L74:L96" si="20">ROUND((J74+K74),0)</f>
        <v>31</v>
      </c>
      <c r="M74" s="111"/>
      <c r="N74" s="57">
        <f t="shared" ref="N74:N104" si="21">+R74/L74*G74</f>
        <v>13.3135483870968</v>
      </c>
      <c r="O74" s="57">
        <f t="shared" ref="O74:O104" si="22">+R74/L74*H74</f>
        <v>8.52958185483871</v>
      </c>
      <c r="P74" s="57">
        <f t="shared" ref="P74:P104" si="23">+R74/L74*I74</f>
        <v>1.20967741935484</v>
      </c>
      <c r="Q74" s="57">
        <f t="shared" si="18"/>
        <v>23.0528076612903</v>
      </c>
      <c r="R74" s="102">
        <v>25</v>
      </c>
      <c r="S74" s="59"/>
    </row>
    <row r="75" ht="52" spans="1:19">
      <c r="A75" s="87" t="s">
        <v>270</v>
      </c>
      <c r="B75" s="68" t="s">
        <v>267</v>
      </c>
      <c r="C75" s="64" t="s">
        <v>271</v>
      </c>
      <c r="D75" s="112" t="s">
        <v>185</v>
      </c>
      <c r="E75" s="52" t="s">
        <v>269</v>
      </c>
      <c r="F75" s="69" t="s">
        <v>47</v>
      </c>
      <c r="G75" s="79">
        <v>16.5088</v>
      </c>
      <c r="H75" s="79">
        <v>0</v>
      </c>
      <c r="I75" s="79">
        <v>1.5</v>
      </c>
      <c r="J75" s="79">
        <f t="shared" si="19"/>
        <v>18.0088</v>
      </c>
      <c r="K75" s="79">
        <f>J75*0.1</f>
        <v>1.80088</v>
      </c>
      <c r="L75" s="101">
        <f t="shared" si="20"/>
        <v>20</v>
      </c>
      <c r="M75" s="111" t="s">
        <v>272</v>
      </c>
      <c r="N75" s="57">
        <f t="shared" si="21"/>
        <v>12.3816</v>
      </c>
      <c r="O75" s="57">
        <f t="shared" si="22"/>
        <v>0</v>
      </c>
      <c r="P75" s="57">
        <f t="shared" si="23"/>
        <v>1.125</v>
      </c>
      <c r="Q75" s="57">
        <f t="shared" si="18"/>
        <v>13.5066</v>
      </c>
      <c r="R75" s="102">
        <v>15</v>
      </c>
      <c r="S75" s="59"/>
    </row>
    <row r="76" ht="39" spans="1:19">
      <c r="A76" s="87" t="s">
        <v>273</v>
      </c>
      <c r="B76" s="68" t="s">
        <v>274</v>
      </c>
      <c r="C76" s="64" t="s">
        <v>275</v>
      </c>
      <c r="D76" s="68" t="s">
        <v>185</v>
      </c>
      <c r="E76" s="70" t="s">
        <v>276</v>
      </c>
      <c r="F76" s="69" t="s">
        <v>47</v>
      </c>
      <c r="G76" s="79">
        <v>11.088</v>
      </c>
      <c r="H76" s="79">
        <v>39.3691914</v>
      </c>
      <c r="I76" s="79">
        <v>0.5</v>
      </c>
      <c r="J76" s="79">
        <f t="shared" si="19"/>
        <v>50.9571914</v>
      </c>
      <c r="K76" s="79">
        <f t="shared" ref="K75:K104" si="24">J76*0.1</f>
        <v>5.09571914</v>
      </c>
      <c r="L76" s="101">
        <f t="shared" si="20"/>
        <v>56</v>
      </c>
      <c r="M76" s="111" t="s">
        <v>277</v>
      </c>
      <c r="N76" s="57">
        <f t="shared" si="21"/>
        <v>7.92</v>
      </c>
      <c r="O76" s="57">
        <f t="shared" si="22"/>
        <v>28.120851</v>
      </c>
      <c r="P76" s="57">
        <f t="shared" si="23"/>
        <v>0.357142857142857</v>
      </c>
      <c r="Q76" s="57">
        <f t="shared" si="18"/>
        <v>36.3979938571429</v>
      </c>
      <c r="R76" s="58">
        <v>40</v>
      </c>
      <c r="S76" s="59"/>
    </row>
    <row r="77" ht="27" customHeight="1" spans="1:19">
      <c r="A77" s="87" t="s">
        <v>278</v>
      </c>
      <c r="B77" s="68" t="s">
        <v>279</v>
      </c>
      <c r="C77" s="64" t="s">
        <v>280</v>
      </c>
      <c r="D77" s="68" t="s">
        <v>185</v>
      </c>
      <c r="E77" s="70" t="s">
        <v>281</v>
      </c>
      <c r="F77" s="69" t="s">
        <v>47</v>
      </c>
      <c r="G77" s="79">
        <v>5.18848</v>
      </c>
      <c r="H77" s="79">
        <v>0</v>
      </c>
      <c r="I77" s="79">
        <v>0</v>
      </c>
      <c r="J77" s="79">
        <f t="shared" si="19"/>
        <v>5.18848</v>
      </c>
      <c r="K77" s="79">
        <f t="shared" si="24"/>
        <v>0.518848</v>
      </c>
      <c r="L77" s="101">
        <f t="shared" si="20"/>
        <v>6</v>
      </c>
      <c r="M77" s="111" t="s">
        <v>282</v>
      </c>
      <c r="N77" s="57">
        <f t="shared" si="21"/>
        <v>4.32373333333333</v>
      </c>
      <c r="O77" s="57">
        <f t="shared" si="22"/>
        <v>0</v>
      </c>
      <c r="P77" s="57">
        <f t="shared" si="23"/>
        <v>0</v>
      </c>
      <c r="Q77" s="57">
        <f t="shared" si="18"/>
        <v>4.32373333333333</v>
      </c>
      <c r="R77" s="58">
        <v>5</v>
      </c>
      <c r="S77" s="59"/>
    </row>
    <row r="78" ht="29" spans="1:19">
      <c r="A78" s="87" t="s">
        <v>283</v>
      </c>
      <c r="B78" s="68" t="s">
        <v>284</v>
      </c>
      <c r="C78" s="52" t="s">
        <v>285</v>
      </c>
      <c r="D78" s="68" t="s">
        <v>156</v>
      </c>
      <c r="E78" s="70" t="s">
        <v>286</v>
      </c>
      <c r="F78" s="53" t="s">
        <v>24</v>
      </c>
      <c r="G78" s="79">
        <v>110</v>
      </c>
      <c r="H78" s="79">
        <v>124.9054905</v>
      </c>
      <c r="I78" s="79">
        <v>8</v>
      </c>
      <c r="J78" s="79">
        <f t="shared" si="19"/>
        <v>242.9054905</v>
      </c>
      <c r="K78" s="79">
        <f t="shared" si="24"/>
        <v>24.29054905</v>
      </c>
      <c r="L78" s="101">
        <f t="shared" si="20"/>
        <v>267</v>
      </c>
      <c r="M78" s="111"/>
      <c r="N78" s="57">
        <f t="shared" si="21"/>
        <v>74.1573033707865</v>
      </c>
      <c r="O78" s="57">
        <f t="shared" si="22"/>
        <v>84.2059486516854</v>
      </c>
      <c r="P78" s="57">
        <f t="shared" si="23"/>
        <v>5.39325842696629</v>
      </c>
      <c r="Q78" s="57">
        <f t="shared" si="18"/>
        <v>163.756510449438</v>
      </c>
      <c r="R78" s="102">
        <v>180</v>
      </c>
      <c r="S78" s="59"/>
    </row>
    <row r="79" ht="43.5" spans="1:19">
      <c r="A79" s="87" t="s">
        <v>287</v>
      </c>
      <c r="B79" s="104" t="s">
        <v>288</v>
      </c>
      <c r="C79" s="52" t="s">
        <v>285</v>
      </c>
      <c r="D79" s="68" t="s">
        <v>156</v>
      </c>
      <c r="E79" s="70"/>
      <c r="F79" s="53" t="s">
        <v>24</v>
      </c>
      <c r="G79" s="79">
        <v>134.64</v>
      </c>
      <c r="H79" s="79">
        <v>132.431976</v>
      </c>
      <c r="I79" s="79">
        <v>10</v>
      </c>
      <c r="J79" s="79">
        <f t="shared" si="19"/>
        <v>277.071976</v>
      </c>
      <c r="K79" s="79">
        <f t="shared" si="24"/>
        <v>27.7071976</v>
      </c>
      <c r="L79" s="101">
        <f t="shared" si="20"/>
        <v>305</v>
      </c>
      <c r="M79" s="111"/>
      <c r="N79" s="57">
        <f t="shared" si="21"/>
        <v>101.531803278689</v>
      </c>
      <c r="O79" s="57">
        <f t="shared" si="22"/>
        <v>99.866736</v>
      </c>
      <c r="P79" s="57">
        <f t="shared" si="23"/>
        <v>7.54098360655738</v>
      </c>
      <c r="Q79" s="57">
        <f t="shared" si="18"/>
        <v>208.939522885246</v>
      </c>
      <c r="R79" s="102">
        <v>230</v>
      </c>
      <c r="S79" s="59"/>
    </row>
    <row r="80" ht="39" spans="1:19">
      <c r="A80" s="87" t="s">
        <v>289</v>
      </c>
      <c r="B80" s="70" t="s">
        <v>290</v>
      </c>
      <c r="C80" s="52" t="s">
        <v>226</v>
      </c>
      <c r="D80" s="88" t="s">
        <v>156</v>
      </c>
      <c r="E80" s="52" t="s">
        <v>226</v>
      </c>
      <c r="F80" s="53" t="s">
        <v>24</v>
      </c>
      <c r="G80" s="55">
        <v>36</v>
      </c>
      <c r="H80" s="78"/>
      <c r="I80" s="79">
        <v>8</v>
      </c>
      <c r="J80" s="55">
        <f t="shared" si="19"/>
        <v>44</v>
      </c>
      <c r="K80" s="79">
        <f t="shared" si="24"/>
        <v>4.4</v>
      </c>
      <c r="L80" s="101">
        <f t="shared" si="20"/>
        <v>48</v>
      </c>
      <c r="M80" s="111"/>
      <c r="N80" s="57">
        <f t="shared" si="21"/>
        <v>26.25</v>
      </c>
      <c r="O80" s="57">
        <f t="shared" si="22"/>
        <v>0</v>
      </c>
      <c r="P80" s="57">
        <f t="shared" si="23"/>
        <v>5.83333333333333</v>
      </c>
      <c r="Q80" s="57">
        <f t="shared" si="18"/>
        <v>32.0833333333333</v>
      </c>
      <c r="R80" s="102">
        <v>35</v>
      </c>
      <c r="S80" s="59"/>
    </row>
    <row r="81" ht="39" spans="1:19">
      <c r="A81" s="87" t="s">
        <v>291</v>
      </c>
      <c r="B81" s="68" t="s">
        <v>292</v>
      </c>
      <c r="C81" s="64" t="s">
        <v>293</v>
      </c>
      <c r="D81" s="68" t="s">
        <v>156</v>
      </c>
      <c r="E81" s="70" t="s">
        <v>294</v>
      </c>
      <c r="F81" s="53" t="s">
        <v>24</v>
      </c>
      <c r="G81" s="79">
        <v>79.2</v>
      </c>
      <c r="H81" s="79">
        <v>96.346215</v>
      </c>
      <c r="I81" s="79">
        <v>5</v>
      </c>
      <c r="J81" s="79">
        <f t="shared" si="19"/>
        <v>180.546215</v>
      </c>
      <c r="K81" s="79">
        <f t="shared" si="24"/>
        <v>18.0546215</v>
      </c>
      <c r="L81" s="101">
        <f t="shared" si="20"/>
        <v>199</v>
      </c>
      <c r="M81" s="113"/>
      <c r="N81" s="57">
        <f t="shared" si="21"/>
        <v>59.6984924623116</v>
      </c>
      <c r="O81" s="57">
        <f t="shared" si="22"/>
        <v>72.6227751256282</v>
      </c>
      <c r="P81" s="57">
        <f t="shared" si="23"/>
        <v>3.76884422110553</v>
      </c>
      <c r="Q81" s="57">
        <f t="shared" si="18"/>
        <v>136.090111809045</v>
      </c>
      <c r="R81" s="102">
        <v>150</v>
      </c>
      <c r="S81" s="59"/>
    </row>
    <row r="82" ht="43.5" spans="1:19">
      <c r="A82" s="87" t="s">
        <v>295</v>
      </c>
      <c r="B82" s="68" t="s">
        <v>296</v>
      </c>
      <c r="C82" s="64" t="s">
        <v>297</v>
      </c>
      <c r="D82" s="68" t="s">
        <v>156</v>
      </c>
      <c r="E82" s="70" t="s">
        <v>298</v>
      </c>
      <c r="F82" s="53" t="s">
        <v>24</v>
      </c>
      <c r="G82" s="79">
        <v>122.848</v>
      </c>
      <c r="H82" s="79">
        <v>103.163445</v>
      </c>
      <c r="I82" s="79">
        <v>5</v>
      </c>
      <c r="J82" s="79">
        <f t="shared" si="19"/>
        <v>231.011445</v>
      </c>
      <c r="K82" s="79">
        <f t="shared" si="24"/>
        <v>23.1011445</v>
      </c>
      <c r="L82" s="101">
        <f t="shared" si="20"/>
        <v>254</v>
      </c>
      <c r="M82" s="113"/>
      <c r="N82" s="57">
        <f t="shared" si="21"/>
        <v>101.567244094488</v>
      </c>
      <c r="O82" s="57">
        <f t="shared" si="22"/>
        <v>85.292612007874</v>
      </c>
      <c r="P82" s="57">
        <f t="shared" si="23"/>
        <v>4.13385826771654</v>
      </c>
      <c r="Q82" s="57">
        <f t="shared" si="18"/>
        <v>190.993714370079</v>
      </c>
      <c r="R82" s="102">
        <v>210</v>
      </c>
      <c r="S82" s="59"/>
    </row>
    <row r="83" ht="29" spans="1:19">
      <c r="A83" s="87" t="s">
        <v>299</v>
      </c>
      <c r="B83" s="68" t="s">
        <v>300</v>
      </c>
      <c r="C83" s="64" t="s">
        <v>301</v>
      </c>
      <c r="D83" s="68" t="s">
        <v>156</v>
      </c>
      <c r="E83" s="70" t="s">
        <v>302</v>
      </c>
      <c r="F83" s="53" t="s">
        <v>24</v>
      </c>
      <c r="G83" s="79">
        <v>37.664</v>
      </c>
      <c r="H83" s="79">
        <v>62.370517</v>
      </c>
      <c r="I83" s="79">
        <v>4</v>
      </c>
      <c r="J83" s="79">
        <f t="shared" si="19"/>
        <v>104.034517</v>
      </c>
      <c r="K83" s="79">
        <f t="shared" si="24"/>
        <v>10.4034517</v>
      </c>
      <c r="L83" s="101">
        <f t="shared" si="20"/>
        <v>114</v>
      </c>
      <c r="M83" s="111"/>
      <c r="N83" s="57">
        <f t="shared" si="21"/>
        <v>28.0828070175439</v>
      </c>
      <c r="O83" s="57">
        <f t="shared" si="22"/>
        <v>46.5043328508772</v>
      </c>
      <c r="P83" s="57">
        <f t="shared" si="23"/>
        <v>2.98245614035088</v>
      </c>
      <c r="Q83" s="57">
        <f t="shared" si="18"/>
        <v>77.5695960087719</v>
      </c>
      <c r="R83" s="102">
        <v>85</v>
      </c>
      <c r="S83" s="59"/>
    </row>
    <row r="84" ht="43.5" spans="1:19">
      <c r="A84" s="87" t="s">
        <v>303</v>
      </c>
      <c r="B84" s="68" t="s">
        <v>304</v>
      </c>
      <c r="C84" s="64" t="s">
        <v>305</v>
      </c>
      <c r="D84" s="68" t="s">
        <v>156</v>
      </c>
      <c r="E84" s="70" t="s">
        <v>294</v>
      </c>
      <c r="F84" s="53" t="s">
        <v>24</v>
      </c>
      <c r="G84" s="79">
        <v>79.2</v>
      </c>
      <c r="H84" s="79">
        <v>138.76338</v>
      </c>
      <c r="I84" s="79">
        <v>9</v>
      </c>
      <c r="J84" s="79">
        <f t="shared" si="19"/>
        <v>226.96338</v>
      </c>
      <c r="K84" s="79">
        <f t="shared" si="24"/>
        <v>22.696338</v>
      </c>
      <c r="L84" s="101">
        <f t="shared" si="20"/>
        <v>250</v>
      </c>
      <c r="M84" s="113"/>
      <c r="N84" s="57">
        <f t="shared" si="21"/>
        <v>58.608</v>
      </c>
      <c r="O84" s="57">
        <f t="shared" si="22"/>
        <v>102.6849012</v>
      </c>
      <c r="P84" s="57">
        <f t="shared" si="23"/>
        <v>6.66</v>
      </c>
      <c r="Q84" s="57">
        <f t="shared" si="18"/>
        <v>167.9529012</v>
      </c>
      <c r="R84" s="58">
        <v>185</v>
      </c>
      <c r="S84" s="59"/>
    </row>
    <row r="85" ht="65" spans="1:19">
      <c r="A85" s="87" t="s">
        <v>306</v>
      </c>
      <c r="B85" s="68" t="s">
        <v>307</v>
      </c>
      <c r="C85" s="64" t="s">
        <v>308</v>
      </c>
      <c r="D85" s="68" t="s">
        <v>156</v>
      </c>
      <c r="E85" s="70" t="s">
        <v>309</v>
      </c>
      <c r="F85" s="53" t="s">
        <v>24</v>
      </c>
      <c r="G85" s="79">
        <v>63.184</v>
      </c>
      <c r="H85" s="79">
        <v>218.74</v>
      </c>
      <c r="I85" s="79">
        <v>27</v>
      </c>
      <c r="J85" s="79">
        <f t="shared" si="19"/>
        <v>308.924</v>
      </c>
      <c r="K85" s="79">
        <f t="shared" si="24"/>
        <v>30.8924</v>
      </c>
      <c r="L85" s="101">
        <f t="shared" si="20"/>
        <v>340</v>
      </c>
      <c r="M85" s="111"/>
      <c r="N85" s="57">
        <f t="shared" si="21"/>
        <v>48.3171764705882</v>
      </c>
      <c r="O85" s="57">
        <f t="shared" si="22"/>
        <v>167.271764705882</v>
      </c>
      <c r="P85" s="57">
        <f t="shared" si="23"/>
        <v>20.6470588235294</v>
      </c>
      <c r="Q85" s="57">
        <f t="shared" si="18"/>
        <v>236.236</v>
      </c>
      <c r="R85" s="102">
        <v>260</v>
      </c>
      <c r="S85" s="59"/>
    </row>
    <row r="86" ht="65" spans="1:19">
      <c r="A86" s="87" t="s">
        <v>310</v>
      </c>
      <c r="B86" s="68" t="s">
        <v>311</v>
      </c>
      <c r="C86" s="64" t="s">
        <v>312</v>
      </c>
      <c r="D86" s="68" t="s">
        <v>156</v>
      </c>
      <c r="E86" s="70" t="s">
        <v>309</v>
      </c>
      <c r="F86" s="53" t="s">
        <v>24</v>
      </c>
      <c r="G86" s="79">
        <v>63.536</v>
      </c>
      <c r="H86" s="79">
        <v>246.96</v>
      </c>
      <c r="I86" s="79">
        <v>28</v>
      </c>
      <c r="J86" s="79">
        <f t="shared" si="19"/>
        <v>338.496</v>
      </c>
      <c r="K86" s="79">
        <f t="shared" si="24"/>
        <v>33.8496</v>
      </c>
      <c r="L86" s="101">
        <f t="shared" si="20"/>
        <v>372</v>
      </c>
      <c r="M86" s="111"/>
      <c r="N86" s="57">
        <f t="shared" si="21"/>
        <v>46.1148387096774</v>
      </c>
      <c r="O86" s="57">
        <f t="shared" si="22"/>
        <v>179.245161290323</v>
      </c>
      <c r="P86" s="57">
        <f t="shared" si="23"/>
        <v>20.3225806451613</v>
      </c>
      <c r="Q86" s="57">
        <f t="shared" si="18"/>
        <v>245.682580645161</v>
      </c>
      <c r="R86" s="58">
        <v>270</v>
      </c>
      <c r="S86" s="59"/>
    </row>
    <row r="87" ht="65" spans="1:19">
      <c r="A87" s="87" t="s">
        <v>313</v>
      </c>
      <c r="B87" s="68" t="s">
        <v>314</v>
      </c>
      <c r="C87" s="64" t="s">
        <v>315</v>
      </c>
      <c r="D87" s="68" t="s">
        <v>156</v>
      </c>
      <c r="E87" s="70" t="s">
        <v>309</v>
      </c>
      <c r="F87" s="53" t="s">
        <v>24</v>
      </c>
      <c r="G87" s="79">
        <v>64.24</v>
      </c>
      <c r="H87" s="79">
        <v>290.47</v>
      </c>
      <c r="I87" s="79">
        <v>28</v>
      </c>
      <c r="J87" s="79">
        <f t="shared" si="19"/>
        <v>382.71</v>
      </c>
      <c r="K87" s="79">
        <f t="shared" si="24"/>
        <v>38.271</v>
      </c>
      <c r="L87" s="101">
        <f t="shared" si="20"/>
        <v>421</v>
      </c>
      <c r="M87" s="111"/>
      <c r="N87" s="57">
        <f t="shared" si="21"/>
        <v>50.3543942992874</v>
      </c>
      <c r="O87" s="57">
        <f t="shared" si="22"/>
        <v>227.68432304038</v>
      </c>
      <c r="P87" s="57">
        <f t="shared" si="23"/>
        <v>21.9477434679335</v>
      </c>
      <c r="Q87" s="57">
        <f t="shared" si="18"/>
        <v>299.986460807601</v>
      </c>
      <c r="R87" s="58">
        <v>330</v>
      </c>
      <c r="S87" s="59"/>
    </row>
    <row r="88" ht="65" spans="1:19">
      <c r="A88" s="87" t="s">
        <v>316</v>
      </c>
      <c r="B88" s="68" t="s">
        <v>317</v>
      </c>
      <c r="C88" s="64" t="s">
        <v>318</v>
      </c>
      <c r="D88" s="68" t="s">
        <v>156</v>
      </c>
      <c r="E88" s="70" t="s">
        <v>309</v>
      </c>
      <c r="F88" s="53" t="s">
        <v>24</v>
      </c>
      <c r="G88" s="79">
        <v>63.536</v>
      </c>
      <c r="H88" s="79">
        <v>321.32</v>
      </c>
      <c r="I88" s="79">
        <v>28</v>
      </c>
      <c r="J88" s="79">
        <f t="shared" si="19"/>
        <v>412.856</v>
      </c>
      <c r="K88" s="79">
        <f t="shared" si="24"/>
        <v>41.2856</v>
      </c>
      <c r="L88" s="101">
        <f t="shared" si="20"/>
        <v>454</v>
      </c>
      <c r="M88" s="111"/>
      <c r="N88" s="57">
        <f t="shared" si="21"/>
        <v>48.2817621145375</v>
      </c>
      <c r="O88" s="57">
        <f t="shared" si="22"/>
        <v>244.174889867841</v>
      </c>
      <c r="P88" s="57">
        <f t="shared" si="23"/>
        <v>21.2775330396476</v>
      </c>
      <c r="Q88" s="57">
        <f t="shared" si="18"/>
        <v>313.734185022026</v>
      </c>
      <c r="R88" s="102">
        <v>345</v>
      </c>
      <c r="S88" s="59"/>
    </row>
    <row r="89" ht="65" spans="1:19">
      <c r="A89" s="87" t="s">
        <v>319</v>
      </c>
      <c r="B89" s="68" t="s">
        <v>320</v>
      </c>
      <c r="C89" s="64" t="s">
        <v>321</v>
      </c>
      <c r="D89" s="68" t="s">
        <v>156</v>
      </c>
      <c r="E89" s="70" t="s">
        <v>309</v>
      </c>
      <c r="F89" s="53" t="s">
        <v>24</v>
      </c>
      <c r="G89" s="79">
        <v>62.744</v>
      </c>
      <c r="H89" s="79">
        <v>375.81</v>
      </c>
      <c r="I89" s="79">
        <v>28</v>
      </c>
      <c r="J89" s="79">
        <f t="shared" si="19"/>
        <v>466.554</v>
      </c>
      <c r="K89" s="79">
        <f t="shared" si="24"/>
        <v>46.6554</v>
      </c>
      <c r="L89" s="101">
        <f t="shared" si="20"/>
        <v>513</v>
      </c>
      <c r="M89" s="73"/>
      <c r="N89" s="57">
        <f t="shared" si="21"/>
        <v>46.477037037037</v>
      </c>
      <c r="O89" s="57">
        <f t="shared" si="22"/>
        <v>278.377777777778</v>
      </c>
      <c r="P89" s="57">
        <f t="shared" si="23"/>
        <v>20.7407407407407</v>
      </c>
      <c r="Q89" s="57">
        <f t="shared" si="18"/>
        <v>345.595555555556</v>
      </c>
      <c r="R89" s="102">
        <v>380</v>
      </c>
      <c r="S89" s="59"/>
    </row>
    <row r="90" ht="39" spans="1:19">
      <c r="A90" s="87" t="s">
        <v>322</v>
      </c>
      <c r="B90" s="68" t="s">
        <v>323</v>
      </c>
      <c r="C90" s="64" t="s">
        <v>324</v>
      </c>
      <c r="D90" s="68" t="s">
        <v>156</v>
      </c>
      <c r="E90" s="70" t="s">
        <v>325</v>
      </c>
      <c r="F90" s="53" t="s">
        <v>24</v>
      </c>
      <c r="G90" s="79">
        <v>48.928</v>
      </c>
      <c r="H90" s="79">
        <v>120.404865</v>
      </c>
      <c r="I90" s="79">
        <v>34</v>
      </c>
      <c r="J90" s="79">
        <f t="shared" si="19"/>
        <v>203.332865</v>
      </c>
      <c r="K90" s="79">
        <f t="shared" si="24"/>
        <v>20.3332865</v>
      </c>
      <c r="L90" s="101">
        <f t="shared" si="20"/>
        <v>224</v>
      </c>
      <c r="M90" s="73"/>
      <c r="N90" s="57">
        <f t="shared" si="21"/>
        <v>39.3171428571429</v>
      </c>
      <c r="O90" s="57">
        <f t="shared" si="22"/>
        <v>96.753909375</v>
      </c>
      <c r="P90" s="57">
        <f t="shared" si="23"/>
        <v>27.3214285714286</v>
      </c>
      <c r="Q90" s="57">
        <f t="shared" si="18"/>
        <v>163.392480803571</v>
      </c>
      <c r="R90" s="102">
        <v>180</v>
      </c>
      <c r="S90" s="59"/>
    </row>
    <row r="91" ht="39" spans="1:19">
      <c r="A91" s="87" t="s">
        <v>326</v>
      </c>
      <c r="B91" s="68" t="s">
        <v>327</v>
      </c>
      <c r="C91" s="64" t="s">
        <v>328</v>
      </c>
      <c r="D91" s="68" t="s">
        <v>185</v>
      </c>
      <c r="E91" s="63" t="s">
        <v>329</v>
      </c>
      <c r="F91" s="69" t="s">
        <v>47</v>
      </c>
      <c r="G91" s="79">
        <f>2/1.2</f>
        <v>1.66666666666667</v>
      </c>
      <c r="H91" s="79"/>
      <c r="I91" s="79"/>
      <c r="J91" s="79">
        <f t="shared" si="19"/>
        <v>1.66666666666667</v>
      </c>
      <c r="K91" s="79">
        <f t="shared" si="24"/>
        <v>0.166666666666667</v>
      </c>
      <c r="L91" s="101">
        <f t="shared" si="20"/>
        <v>2</v>
      </c>
      <c r="M91" s="73"/>
      <c r="N91" s="57">
        <f t="shared" si="21"/>
        <v>1.25</v>
      </c>
      <c r="O91" s="57">
        <f t="shared" si="22"/>
        <v>0</v>
      </c>
      <c r="P91" s="57">
        <f t="shared" si="23"/>
        <v>0</v>
      </c>
      <c r="Q91" s="57">
        <f t="shared" si="18"/>
        <v>1.25</v>
      </c>
      <c r="R91" s="58">
        <v>1.5</v>
      </c>
      <c r="S91" s="59"/>
    </row>
    <row r="92" ht="52" spans="1:19">
      <c r="A92" s="87" t="s">
        <v>330</v>
      </c>
      <c r="B92" s="68" t="s">
        <v>331</v>
      </c>
      <c r="C92" s="64" t="s">
        <v>332</v>
      </c>
      <c r="D92" s="68" t="s">
        <v>156</v>
      </c>
      <c r="E92" s="70" t="s">
        <v>333</v>
      </c>
      <c r="F92" s="53" t="s">
        <v>24</v>
      </c>
      <c r="G92" s="79">
        <v>42.768</v>
      </c>
      <c r="H92" s="79">
        <v>31.63342875</v>
      </c>
      <c r="I92" s="79">
        <v>2</v>
      </c>
      <c r="J92" s="79">
        <f t="shared" si="19"/>
        <v>76.40142875</v>
      </c>
      <c r="K92" s="79">
        <f t="shared" si="24"/>
        <v>7.640142875</v>
      </c>
      <c r="L92" s="101">
        <f t="shared" si="20"/>
        <v>84</v>
      </c>
      <c r="M92" s="73"/>
      <c r="N92" s="57">
        <f t="shared" si="21"/>
        <v>33.0942857142857</v>
      </c>
      <c r="O92" s="57">
        <f t="shared" si="22"/>
        <v>24.4782484375</v>
      </c>
      <c r="P92" s="57">
        <f t="shared" si="23"/>
        <v>1.54761904761905</v>
      </c>
      <c r="Q92" s="57">
        <f t="shared" si="18"/>
        <v>59.1201531994048</v>
      </c>
      <c r="R92" s="102">
        <v>65</v>
      </c>
      <c r="S92" s="59"/>
    </row>
    <row r="93" ht="58" spans="1:19">
      <c r="A93" s="87" t="s">
        <v>334</v>
      </c>
      <c r="B93" s="68" t="s">
        <v>335</v>
      </c>
      <c r="C93" s="63" t="s">
        <v>336</v>
      </c>
      <c r="D93" s="68" t="s">
        <v>156</v>
      </c>
      <c r="E93" s="70" t="s">
        <v>333</v>
      </c>
      <c r="F93" s="69" t="s">
        <v>24</v>
      </c>
      <c r="G93" s="79">
        <v>65.472</v>
      </c>
      <c r="H93" s="79">
        <v>49.9473975</v>
      </c>
      <c r="I93" s="79">
        <v>3.5</v>
      </c>
      <c r="J93" s="79">
        <f t="shared" si="19"/>
        <v>118.9193975</v>
      </c>
      <c r="K93" s="79">
        <f t="shared" si="24"/>
        <v>11.89193975</v>
      </c>
      <c r="L93" s="101">
        <f t="shared" si="20"/>
        <v>131</v>
      </c>
      <c r="M93" s="67" t="s">
        <v>337</v>
      </c>
      <c r="N93" s="57">
        <f t="shared" si="21"/>
        <v>49.9786259541985</v>
      </c>
      <c r="O93" s="57">
        <f t="shared" si="22"/>
        <v>38.127784351145</v>
      </c>
      <c r="P93" s="57">
        <f t="shared" si="23"/>
        <v>2.67175572519084</v>
      </c>
      <c r="Q93" s="57">
        <f t="shared" si="18"/>
        <v>90.7781660305343</v>
      </c>
      <c r="R93" s="102">
        <v>100</v>
      </c>
      <c r="S93" s="59"/>
    </row>
    <row r="94" s="15" customFormat="1" ht="72.5" spans="1:19">
      <c r="A94" s="90" t="s">
        <v>338</v>
      </c>
      <c r="B94" s="114" t="s">
        <v>339</v>
      </c>
      <c r="C94" s="115" t="s">
        <v>340</v>
      </c>
      <c r="D94" s="114" t="s">
        <v>156</v>
      </c>
      <c r="E94" s="91" t="s">
        <v>333</v>
      </c>
      <c r="F94" s="116" t="s">
        <v>24</v>
      </c>
      <c r="G94" s="117">
        <f>65.472+10/1.2</f>
        <v>73.8053333333333</v>
      </c>
      <c r="H94" s="117">
        <f>49.9473975+15/1.2</f>
        <v>62.4473975</v>
      </c>
      <c r="I94" s="117">
        <v>3.5</v>
      </c>
      <c r="J94" s="117">
        <f t="shared" si="19"/>
        <v>139.752730833333</v>
      </c>
      <c r="K94" s="79">
        <f t="shared" si="24"/>
        <v>13.9752730833333</v>
      </c>
      <c r="L94" s="118">
        <f t="shared" si="20"/>
        <v>154</v>
      </c>
      <c r="M94" s="119"/>
      <c r="N94" s="57">
        <f t="shared" si="21"/>
        <v>59.9069264069264</v>
      </c>
      <c r="O94" s="57">
        <f t="shared" si="22"/>
        <v>50.6878226461039</v>
      </c>
      <c r="P94" s="57">
        <f t="shared" si="23"/>
        <v>2.84090909090909</v>
      </c>
      <c r="Q94" s="57">
        <f t="shared" si="18"/>
        <v>113.435658143939</v>
      </c>
      <c r="R94" s="102">
        <v>125</v>
      </c>
      <c r="S94" s="98"/>
    </row>
    <row r="95" ht="58" spans="1:19">
      <c r="A95" s="87" t="s">
        <v>341</v>
      </c>
      <c r="B95" s="68" t="s">
        <v>342</v>
      </c>
      <c r="C95" s="63" t="s">
        <v>343</v>
      </c>
      <c r="D95" s="68" t="s">
        <v>156</v>
      </c>
      <c r="E95" s="70" t="s">
        <v>344</v>
      </c>
      <c r="F95" s="69" t="s">
        <v>24</v>
      </c>
      <c r="G95" s="79">
        <v>40.48</v>
      </c>
      <c r="H95" s="79">
        <v>34.65</v>
      </c>
      <c r="I95" s="79">
        <v>1.5</v>
      </c>
      <c r="J95" s="79">
        <f t="shared" si="19"/>
        <v>76.63</v>
      </c>
      <c r="K95" s="79">
        <f t="shared" si="24"/>
        <v>7.663</v>
      </c>
      <c r="L95" s="101">
        <f t="shared" si="20"/>
        <v>84</v>
      </c>
      <c r="M95" s="67" t="s">
        <v>345</v>
      </c>
      <c r="N95" s="57">
        <f t="shared" si="21"/>
        <v>31.3238095238095</v>
      </c>
      <c r="O95" s="57">
        <f t="shared" si="22"/>
        <v>26.8125</v>
      </c>
      <c r="P95" s="57">
        <f t="shared" si="23"/>
        <v>1.16071428571429</v>
      </c>
      <c r="Q95" s="57">
        <f t="shared" si="18"/>
        <v>59.2970238095238</v>
      </c>
      <c r="R95" s="58">
        <v>65</v>
      </c>
      <c r="S95" s="59" t="s">
        <v>346</v>
      </c>
    </row>
    <row r="96" s="15" customFormat="1" ht="58" spans="1:19">
      <c r="A96" s="90" t="s">
        <v>347</v>
      </c>
      <c r="B96" s="114" t="s">
        <v>348</v>
      </c>
      <c r="C96" s="115" t="s">
        <v>343</v>
      </c>
      <c r="D96" s="114" t="s">
        <v>156</v>
      </c>
      <c r="E96" s="91" t="s">
        <v>344</v>
      </c>
      <c r="F96" s="116" t="s">
        <v>24</v>
      </c>
      <c r="G96" s="117">
        <v>40.48</v>
      </c>
      <c r="H96" s="117">
        <f>34.65+10/1.2</f>
        <v>42.9833333333333</v>
      </c>
      <c r="I96" s="117">
        <v>1.5</v>
      </c>
      <c r="J96" s="117">
        <f t="shared" si="19"/>
        <v>84.9633333333333</v>
      </c>
      <c r="K96" s="79">
        <f t="shared" si="24"/>
        <v>8.49633333333333</v>
      </c>
      <c r="L96" s="118">
        <f t="shared" si="20"/>
        <v>93</v>
      </c>
      <c r="M96" s="119"/>
      <c r="N96" s="57">
        <f t="shared" si="21"/>
        <v>32.6451612903226</v>
      </c>
      <c r="O96" s="57">
        <f t="shared" si="22"/>
        <v>34.6639784946236</v>
      </c>
      <c r="P96" s="57">
        <f t="shared" si="23"/>
        <v>1.20967741935484</v>
      </c>
      <c r="Q96" s="57">
        <f t="shared" si="18"/>
        <v>68.518817204301</v>
      </c>
      <c r="R96" s="58">
        <v>75</v>
      </c>
      <c r="S96" s="98"/>
    </row>
    <row r="97" s="15" customFormat="1" ht="58" spans="1:19">
      <c r="A97" s="90" t="s">
        <v>349</v>
      </c>
      <c r="B97" s="114" t="s">
        <v>350</v>
      </c>
      <c r="C97" s="115" t="s">
        <v>343</v>
      </c>
      <c r="D97" s="114" t="s">
        <v>156</v>
      </c>
      <c r="E97" s="91" t="s">
        <v>344</v>
      </c>
      <c r="F97" s="116" t="s">
        <v>24</v>
      </c>
      <c r="G97" s="117">
        <f>40.48-5/1.2</f>
        <v>36.3133333333333</v>
      </c>
      <c r="H97" s="117">
        <v>34.65</v>
      </c>
      <c r="I97" s="117">
        <v>1.5</v>
      </c>
      <c r="J97" s="117">
        <f t="shared" si="19"/>
        <v>72.4633333333333</v>
      </c>
      <c r="K97" s="79">
        <f t="shared" si="24"/>
        <v>7.24633333333333</v>
      </c>
      <c r="L97" s="118">
        <v>90</v>
      </c>
      <c r="M97" s="119"/>
      <c r="N97" s="57">
        <f t="shared" si="21"/>
        <v>33.0854814814814</v>
      </c>
      <c r="O97" s="57">
        <f t="shared" si="22"/>
        <v>31.57</v>
      </c>
      <c r="P97" s="57">
        <f t="shared" si="23"/>
        <v>1.36666666666667</v>
      </c>
      <c r="Q97" s="57">
        <f t="shared" si="18"/>
        <v>66.0221481481481</v>
      </c>
      <c r="R97" s="58">
        <v>82</v>
      </c>
      <c r="S97" s="98"/>
    </row>
    <row r="98" s="15" customFormat="1" ht="58" spans="1:19">
      <c r="A98" s="90" t="s">
        <v>351</v>
      </c>
      <c r="B98" s="114" t="s">
        <v>352</v>
      </c>
      <c r="C98" s="115" t="s">
        <v>343</v>
      </c>
      <c r="D98" s="114" t="s">
        <v>156</v>
      </c>
      <c r="E98" s="91" t="s">
        <v>344</v>
      </c>
      <c r="F98" s="116" t="s">
        <v>24</v>
      </c>
      <c r="G98" s="117">
        <f>40.48-5/1.2</f>
        <v>36.3133333333333</v>
      </c>
      <c r="H98" s="117">
        <f>34.65+10/1.2</f>
        <v>42.9833333333333</v>
      </c>
      <c r="I98" s="117">
        <v>1.5</v>
      </c>
      <c r="J98" s="117">
        <f t="shared" si="19"/>
        <v>80.7966666666667</v>
      </c>
      <c r="K98" s="79">
        <f t="shared" si="24"/>
        <v>8.07966666666667</v>
      </c>
      <c r="L98" s="118">
        <v>100</v>
      </c>
      <c r="M98" s="119"/>
      <c r="N98" s="57">
        <f t="shared" si="21"/>
        <v>33.4082666666666</v>
      </c>
      <c r="O98" s="57">
        <f t="shared" si="22"/>
        <v>39.5446666666666</v>
      </c>
      <c r="P98" s="57">
        <f t="shared" si="23"/>
        <v>1.38</v>
      </c>
      <c r="Q98" s="57">
        <f t="shared" si="18"/>
        <v>74.3329333333333</v>
      </c>
      <c r="R98" s="58">
        <v>92</v>
      </c>
      <c r="S98" s="98"/>
    </row>
    <row r="99" ht="58" spans="1:19">
      <c r="A99" s="87" t="s">
        <v>353</v>
      </c>
      <c r="B99" s="68" t="s">
        <v>354</v>
      </c>
      <c r="C99" s="63" t="s">
        <v>355</v>
      </c>
      <c r="D99" s="68" t="s">
        <v>156</v>
      </c>
      <c r="E99" s="70" t="s">
        <v>333</v>
      </c>
      <c r="F99" s="69" t="s">
        <v>24</v>
      </c>
      <c r="G99" s="79">
        <v>38.544</v>
      </c>
      <c r="H99" s="79">
        <v>77.385</v>
      </c>
      <c r="I99" s="79">
        <v>3</v>
      </c>
      <c r="J99" s="79">
        <f t="shared" si="19"/>
        <v>118.929</v>
      </c>
      <c r="K99" s="79">
        <f t="shared" si="24"/>
        <v>11.8929</v>
      </c>
      <c r="L99" s="101">
        <f t="shared" ref="L99:L104" si="25">ROUND((J99+K99),0)</f>
        <v>131</v>
      </c>
      <c r="M99" s="105"/>
      <c r="N99" s="57">
        <f t="shared" si="21"/>
        <v>29.4229007633588</v>
      </c>
      <c r="O99" s="57">
        <f t="shared" si="22"/>
        <v>59.0725190839695</v>
      </c>
      <c r="P99" s="57">
        <f t="shared" si="23"/>
        <v>2.29007633587786</v>
      </c>
      <c r="Q99" s="57">
        <f t="shared" si="18"/>
        <v>90.7854961832061</v>
      </c>
      <c r="R99" s="102">
        <v>100</v>
      </c>
      <c r="S99" s="59"/>
    </row>
    <row r="100" ht="87" spans="1:19">
      <c r="A100" s="87" t="s">
        <v>356</v>
      </c>
      <c r="B100" s="68" t="s">
        <v>357</v>
      </c>
      <c r="C100" s="70" t="s">
        <v>358</v>
      </c>
      <c r="D100" s="68" t="s">
        <v>156</v>
      </c>
      <c r="E100" s="63" t="s">
        <v>359</v>
      </c>
      <c r="F100" s="69" t="s">
        <v>24</v>
      </c>
      <c r="G100" s="79">
        <v>109.28</v>
      </c>
      <c r="H100" s="79"/>
      <c r="I100" s="79">
        <v>62.6985</v>
      </c>
      <c r="J100" s="79">
        <f t="shared" si="19"/>
        <v>171.9785</v>
      </c>
      <c r="K100" s="79">
        <f t="shared" si="24"/>
        <v>17.19785</v>
      </c>
      <c r="L100" s="101">
        <f t="shared" si="25"/>
        <v>189</v>
      </c>
      <c r="M100" s="66" t="s">
        <v>360</v>
      </c>
      <c r="N100" s="57">
        <f t="shared" si="21"/>
        <v>109.858201058201</v>
      </c>
      <c r="O100" s="57">
        <f t="shared" si="22"/>
        <v>0</v>
      </c>
      <c r="P100" s="57">
        <f t="shared" si="23"/>
        <v>63.0302380952381</v>
      </c>
      <c r="Q100" s="57">
        <f t="shared" si="18"/>
        <v>172.888439153439</v>
      </c>
      <c r="R100" s="58">
        <v>190</v>
      </c>
      <c r="S100" s="59"/>
    </row>
    <row r="101" ht="101.5" spans="1:19">
      <c r="A101" s="87" t="s">
        <v>361</v>
      </c>
      <c r="B101" s="68" t="s">
        <v>362</v>
      </c>
      <c r="C101" s="70" t="s">
        <v>363</v>
      </c>
      <c r="D101" s="68" t="s">
        <v>156</v>
      </c>
      <c r="E101" s="63" t="s">
        <v>359</v>
      </c>
      <c r="F101" s="69" t="s">
        <v>24</v>
      </c>
      <c r="G101" s="79">
        <v>119.28</v>
      </c>
      <c r="H101" s="79"/>
      <c r="I101" s="79">
        <v>78.6985</v>
      </c>
      <c r="J101" s="79">
        <f t="shared" si="19"/>
        <v>197.9785</v>
      </c>
      <c r="K101" s="79">
        <f t="shared" si="24"/>
        <v>19.79785</v>
      </c>
      <c r="L101" s="101">
        <f t="shared" si="25"/>
        <v>218</v>
      </c>
      <c r="M101" s="66" t="s">
        <v>360</v>
      </c>
      <c r="N101" s="57">
        <f t="shared" si="21"/>
        <v>109.43119266055</v>
      </c>
      <c r="O101" s="57">
        <f t="shared" si="22"/>
        <v>0</v>
      </c>
      <c r="P101" s="57">
        <f t="shared" si="23"/>
        <v>72.2004587155963</v>
      </c>
      <c r="Q101" s="57">
        <f t="shared" si="18"/>
        <v>181.631651376147</v>
      </c>
      <c r="R101" s="102">
        <v>200</v>
      </c>
      <c r="S101" s="59"/>
    </row>
    <row r="102" ht="58" spans="1:19">
      <c r="A102" s="87" t="s">
        <v>364</v>
      </c>
      <c r="B102" s="68" t="s">
        <v>365</v>
      </c>
      <c r="C102" s="63" t="s">
        <v>366</v>
      </c>
      <c r="D102" s="68" t="s">
        <v>156</v>
      </c>
      <c r="E102" s="70" t="s">
        <v>367</v>
      </c>
      <c r="F102" s="69" t="s">
        <v>24</v>
      </c>
      <c r="G102" s="79">
        <v>47.08</v>
      </c>
      <c r="H102" s="79">
        <v>54.3375</v>
      </c>
      <c r="I102" s="79">
        <v>1</v>
      </c>
      <c r="J102" s="79">
        <f t="shared" si="19"/>
        <v>102.4175</v>
      </c>
      <c r="K102" s="79">
        <f t="shared" si="24"/>
        <v>10.24175</v>
      </c>
      <c r="L102" s="101">
        <f t="shared" si="25"/>
        <v>113</v>
      </c>
      <c r="M102" s="105"/>
      <c r="N102" s="57">
        <f t="shared" si="21"/>
        <v>35.4141592920354</v>
      </c>
      <c r="O102" s="57">
        <f t="shared" si="22"/>
        <v>40.8733407079646</v>
      </c>
      <c r="P102" s="57">
        <f t="shared" si="23"/>
        <v>0.752212389380531</v>
      </c>
      <c r="Q102" s="57">
        <f t="shared" si="18"/>
        <v>77.0397123893805</v>
      </c>
      <c r="R102" s="102">
        <v>85</v>
      </c>
      <c r="S102" s="59"/>
    </row>
    <row r="103" ht="87" spans="1:19">
      <c r="A103" s="87" t="s">
        <v>368</v>
      </c>
      <c r="B103" s="70" t="s">
        <v>369</v>
      </c>
      <c r="C103" s="68" t="s">
        <v>370</v>
      </c>
      <c r="D103" s="68" t="s">
        <v>371</v>
      </c>
      <c r="E103" s="70"/>
      <c r="F103" s="69" t="s">
        <v>24</v>
      </c>
      <c r="G103" s="79">
        <v>60.396</v>
      </c>
      <c r="H103" s="79"/>
      <c r="I103" s="79">
        <v>10</v>
      </c>
      <c r="J103" s="79">
        <f t="shared" si="19"/>
        <v>70.396</v>
      </c>
      <c r="K103" s="79">
        <f t="shared" si="24"/>
        <v>7.0396</v>
      </c>
      <c r="L103" s="101">
        <f t="shared" si="25"/>
        <v>77</v>
      </c>
      <c r="M103" s="67"/>
      <c r="N103" s="57">
        <f t="shared" si="21"/>
        <v>39.2181818181818</v>
      </c>
      <c r="O103" s="57">
        <f t="shared" si="22"/>
        <v>0</v>
      </c>
      <c r="P103" s="57">
        <f t="shared" si="23"/>
        <v>6.49350649350649</v>
      </c>
      <c r="Q103" s="57">
        <f t="shared" si="18"/>
        <v>45.7116883116883</v>
      </c>
      <c r="R103" s="102">
        <v>50</v>
      </c>
      <c r="S103" s="59"/>
    </row>
    <row r="104" ht="29" spans="1:19">
      <c r="A104" s="87" t="s">
        <v>372</v>
      </c>
      <c r="B104" s="68" t="s">
        <v>373</v>
      </c>
      <c r="C104" s="69" t="s">
        <v>374</v>
      </c>
      <c r="D104" s="68" t="s">
        <v>185</v>
      </c>
      <c r="E104" s="70" t="s">
        <v>375</v>
      </c>
      <c r="F104" s="69" t="s">
        <v>47</v>
      </c>
      <c r="G104" s="54">
        <v>6.4</v>
      </c>
      <c r="H104" s="54"/>
      <c r="I104" s="79">
        <v>11.5</v>
      </c>
      <c r="J104" s="54">
        <f t="shared" si="19"/>
        <v>17.9</v>
      </c>
      <c r="K104" s="79">
        <f t="shared" si="24"/>
        <v>1.79</v>
      </c>
      <c r="L104" s="101">
        <f t="shared" si="25"/>
        <v>20</v>
      </c>
      <c r="M104" s="67"/>
      <c r="N104" s="57">
        <f t="shared" si="21"/>
        <v>4.8</v>
      </c>
      <c r="O104" s="57">
        <f t="shared" si="22"/>
        <v>0</v>
      </c>
      <c r="P104" s="57">
        <f t="shared" si="23"/>
        <v>8.625</v>
      </c>
      <c r="Q104" s="57">
        <f t="shared" si="18"/>
        <v>13.425</v>
      </c>
      <c r="R104" s="58">
        <v>15</v>
      </c>
      <c r="S104" s="59"/>
    </row>
    <row r="105" ht="43.5" spans="1:19">
      <c r="A105" s="87" t="s">
        <v>376</v>
      </c>
      <c r="B105" s="68" t="s">
        <v>377</v>
      </c>
      <c r="C105" s="70" t="s">
        <v>378</v>
      </c>
      <c r="D105" s="68" t="s">
        <v>185</v>
      </c>
      <c r="E105" s="70" t="s">
        <v>379</v>
      </c>
      <c r="F105" s="70" t="s">
        <v>380</v>
      </c>
      <c r="G105" s="70"/>
      <c r="H105" s="70"/>
      <c r="I105" s="70"/>
      <c r="J105" s="70"/>
      <c r="K105" s="70"/>
      <c r="L105" s="101"/>
      <c r="M105" s="99" t="s">
        <v>381</v>
      </c>
      <c r="N105" s="57"/>
      <c r="O105" s="57"/>
      <c r="P105" s="57"/>
      <c r="Q105" s="57">
        <f t="shared" si="18"/>
        <v>0</v>
      </c>
      <c r="R105" s="58"/>
      <c r="S105" s="59"/>
    </row>
    <row r="106" ht="170.25" customHeight="1" spans="1:19">
      <c r="A106" s="87" t="s">
        <v>382</v>
      </c>
      <c r="B106" s="63" t="s">
        <v>383</v>
      </c>
      <c r="C106" s="120" t="s">
        <v>384</v>
      </c>
      <c r="D106" s="112" t="s">
        <v>185</v>
      </c>
      <c r="E106" s="64" t="s">
        <v>309</v>
      </c>
      <c r="F106" s="70" t="s">
        <v>385</v>
      </c>
      <c r="G106" s="70"/>
      <c r="H106" s="70"/>
      <c r="I106" s="70"/>
      <c r="J106" s="70"/>
      <c r="K106" s="70"/>
      <c r="L106" s="101"/>
      <c r="M106" s="89" t="s">
        <v>386</v>
      </c>
      <c r="N106" s="57"/>
      <c r="O106" s="57"/>
      <c r="P106" s="57"/>
      <c r="Q106" s="57">
        <f t="shared" si="18"/>
        <v>0</v>
      </c>
      <c r="R106" s="58"/>
      <c r="S106" s="59"/>
    </row>
    <row r="107" s="15" customFormat="1" ht="29" spans="1:19">
      <c r="A107" s="90" t="s">
        <v>387</v>
      </c>
      <c r="B107" s="115" t="s">
        <v>383</v>
      </c>
      <c r="C107" s="121" t="s">
        <v>388</v>
      </c>
      <c r="D107" s="122"/>
      <c r="E107" s="123" t="s">
        <v>309</v>
      </c>
      <c r="F107" s="116" t="s">
        <v>47</v>
      </c>
      <c r="G107" s="124">
        <f>15/1.2</f>
        <v>12.5</v>
      </c>
      <c r="H107" s="125"/>
      <c r="I107" s="125"/>
      <c r="J107" s="124">
        <f>G107+H107+I107</f>
        <v>12.5</v>
      </c>
      <c r="K107" s="117">
        <f>J107*0.1</f>
        <v>1.25</v>
      </c>
      <c r="L107" s="118">
        <f>ROUND((J107+K107),0)</f>
        <v>14</v>
      </c>
      <c r="M107" s="97"/>
      <c r="N107" s="57">
        <f>+R107/L107*G107</f>
        <v>10.7142857142857</v>
      </c>
      <c r="O107" s="57">
        <f>+R107/L107*H107</f>
        <v>0</v>
      </c>
      <c r="P107" s="57">
        <f>+R107/L107*I107</f>
        <v>0</v>
      </c>
      <c r="Q107" s="57">
        <f t="shared" si="18"/>
        <v>10.7142857142857</v>
      </c>
      <c r="R107" s="58">
        <v>12</v>
      </c>
      <c r="S107" s="98"/>
    </row>
    <row r="108" s="15" customFormat="1" ht="29" spans="1:19">
      <c r="A108" s="90" t="s">
        <v>389</v>
      </c>
      <c r="B108" s="115" t="s">
        <v>383</v>
      </c>
      <c r="C108" s="121" t="s">
        <v>390</v>
      </c>
      <c r="D108" s="122"/>
      <c r="E108" s="123" t="s">
        <v>309</v>
      </c>
      <c r="F108" s="116" t="s">
        <v>47</v>
      </c>
      <c r="G108" s="124">
        <f>17/1.2</f>
        <v>14.1666666666667</v>
      </c>
      <c r="H108" s="125"/>
      <c r="I108" s="125"/>
      <c r="J108" s="124">
        <f>G108+H108+I108</f>
        <v>14.1666666666667</v>
      </c>
      <c r="K108" s="117">
        <f>J108*0.1</f>
        <v>1.41666666666667</v>
      </c>
      <c r="L108" s="118">
        <f>ROUND((J108+K108),0)</f>
        <v>16</v>
      </c>
      <c r="M108" s="97"/>
      <c r="N108" s="57">
        <f>+R108/L108*G108</f>
        <v>13.28125</v>
      </c>
      <c r="O108" s="57">
        <f>+R108/L108*H108</f>
        <v>0</v>
      </c>
      <c r="P108" s="57">
        <f>+R108/L108*I108</f>
        <v>0</v>
      </c>
      <c r="Q108" s="57">
        <f t="shared" si="18"/>
        <v>13.28125</v>
      </c>
      <c r="R108" s="58">
        <v>15</v>
      </c>
      <c r="S108" s="98"/>
    </row>
    <row r="109" s="15" customFormat="1" ht="29" spans="1:19">
      <c r="A109" s="90" t="s">
        <v>391</v>
      </c>
      <c r="B109" s="115" t="s">
        <v>383</v>
      </c>
      <c r="C109" s="121" t="s">
        <v>392</v>
      </c>
      <c r="D109" s="122"/>
      <c r="E109" s="123" t="s">
        <v>309</v>
      </c>
      <c r="F109" s="116" t="s">
        <v>47</v>
      </c>
      <c r="G109" s="124">
        <f>20/1.2</f>
        <v>16.6666666666667</v>
      </c>
      <c r="H109" s="125"/>
      <c r="I109" s="125"/>
      <c r="J109" s="124">
        <f>G109+H109+I109</f>
        <v>16.6666666666667</v>
      </c>
      <c r="K109" s="117">
        <f>J109*0.1</f>
        <v>1.66666666666667</v>
      </c>
      <c r="L109" s="118">
        <f>ROUND((J109+K109),0)</f>
        <v>18</v>
      </c>
      <c r="M109" s="97"/>
      <c r="N109" s="57">
        <f>+R109/L109*G109</f>
        <v>18.5185185185186</v>
      </c>
      <c r="O109" s="57">
        <f>+R109/L109*H109</f>
        <v>0</v>
      </c>
      <c r="P109" s="57">
        <f>+R109/L109*I109</f>
        <v>0</v>
      </c>
      <c r="Q109" s="57">
        <f t="shared" si="18"/>
        <v>18.5185185185186</v>
      </c>
      <c r="R109" s="58">
        <v>20</v>
      </c>
      <c r="S109" s="98"/>
    </row>
    <row r="110" s="15" customFormat="1" ht="29" spans="1:19">
      <c r="A110" s="90" t="s">
        <v>393</v>
      </c>
      <c r="B110" s="115" t="s">
        <v>383</v>
      </c>
      <c r="C110" s="121" t="s">
        <v>394</v>
      </c>
      <c r="D110" s="122"/>
      <c r="E110" s="123" t="s">
        <v>309</v>
      </c>
      <c r="F110" s="116" t="s">
        <v>47</v>
      </c>
      <c r="G110" s="124">
        <f>22/1.2</f>
        <v>18.3333333333333</v>
      </c>
      <c r="H110" s="125"/>
      <c r="I110" s="125"/>
      <c r="J110" s="124">
        <f>G110+H110+I110</f>
        <v>18.3333333333333</v>
      </c>
      <c r="K110" s="117">
        <f>J110*0.1</f>
        <v>1.83333333333333</v>
      </c>
      <c r="L110" s="118">
        <f>ROUND((J110+K110),0)</f>
        <v>20</v>
      </c>
      <c r="M110" s="97"/>
      <c r="N110" s="57">
        <f>+R110/L110*G110</f>
        <v>21.0833333333333</v>
      </c>
      <c r="O110" s="57">
        <f>+R110/L110*H110</f>
        <v>0</v>
      </c>
      <c r="P110" s="57">
        <f>+R110/L110*I110</f>
        <v>0</v>
      </c>
      <c r="Q110" s="57">
        <f t="shared" si="18"/>
        <v>21.0833333333333</v>
      </c>
      <c r="R110" s="58">
        <v>23</v>
      </c>
      <c r="S110" s="98"/>
    </row>
    <row r="111" s="15" customFormat="1" ht="29" spans="1:19">
      <c r="A111" s="90" t="s">
        <v>395</v>
      </c>
      <c r="B111" s="115" t="s">
        <v>383</v>
      </c>
      <c r="C111" s="121" t="s">
        <v>396</v>
      </c>
      <c r="D111" s="122"/>
      <c r="E111" s="123" t="s">
        <v>309</v>
      </c>
      <c r="F111" s="126" t="s">
        <v>397</v>
      </c>
      <c r="G111" s="126"/>
      <c r="H111" s="126"/>
      <c r="I111" s="126"/>
      <c r="J111" s="126"/>
      <c r="K111" s="126"/>
      <c r="L111" s="118"/>
      <c r="M111" s="97"/>
      <c r="N111" s="57"/>
      <c r="O111" s="57"/>
      <c r="P111" s="57"/>
      <c r="Q111" s="57">
        <f t="shared" si="18"/>
        <v>0</v>
      </c>
      <c r="R111" s="127"/>
      <c r="S111" s="98"/>
    </row>
    <row r="112" ht="14.5" spans="1:19">
      <c r="A112" s="106" t="s">
        <v>398</v>
      </c>
      <c r="B112" s="107" t="s">
        <v>399</v>
      </c>
      <c r="C112" s="108"/>
      <c r="D112" s="128"/>
      <c r="E112" s="128"/>
      <c r="F112" s="128"/>
      <c r="G112" s="128"/>
      <c r="H112" s="128"/>
      <c r="I112" s="128"/>
      <c r="J112" s="128"/>
      <c r="K112" s="128"/>
      <c r="L112" s="128"/>
      <c r="M112" s="129"/>
      <c r="N112" s="57"/>
      <c r="O112" s="57"/>
      <c r="P112" s="57"/>
      <c r="Q112" s="57">
        <f t="shared" si="18"/>
        <v>0</v>
      </c>
      <c r="R112" s="58"/>
      <c r="S112" s="59"/>
    </row>
    <row r="113" ht="83.25" customHeight="1" spans="1:19">
      <c r="A113" s="87" t="s">
        <v>400</v>
      </c>
      <c r="B113" s="63" t="s">
        <v>401</v>
      </c>
      <c r="C113" s="63" t="s">
        <v>402</v>
      </c>
      <c r="D113" s="68" t="s">
        <v>185</v>
      </c>
      <c r="E113" s="63" t="s">
        <v>403</v>
      </c>
      <c r="F113" s="70" t="s">
        <v>404</v>
      </c>
      <c r="G113" s="70"/>
      <c r="H113" s="70"/>
      <c r="I113" s="70"/>
      <c r="J113" s="70"/>
      <c r="K113" s="70"/>
      <c r="L113" s="101"/>
      <c r="M113" s="99"/>
      <c r="N113" s="57"/>
      <c r="O113" s="57"/>
      <c r="P113" s="57"/>
      <c r="Q113" s="57">
        <f t="shared" si="18"/>
        <v>0</v>
      </c>
      <c r="R113" s="58"/>
      <c r="S113" s="59"/>
    </row>
    <row r="114" s="15" customFormat="1" ht="29" spans="1:19">
      <c r="A114" s="90" t="s">
        <v>405</v>
      </c>
      <c r="B114" s="115" t="s">
        <v>401</v>
      </c>
      <c r="C114" s="115" t="s">
        <v>406</v>
      </c>
      <c r="D114" s="114" t="s">
        <v>185</v>
      </c>
      <c r="E114" s="115" t="s">
        <v>403</v>
      </c>
      <c r="F114" s="116" t="s">
        <v>47</v>
      </c>
      <c r="G114" s="117">
        <f>20/1.2</f>
        <v>16.6666666666667</v>
      </c>
      <c r="H114" s="125"/>
      <c r="I114" s="125"/>
      <c r="J114" s="124">
        <f>G114+H114+I114</f>
        <v>16.6666666666667</v>
      </c>
      <c r="K114" s="117">
        <f>J114*0.1</f>
        <v>1.66666666666667</v>
      </c>
      <c r="L114" s="118">
        <f>ROUND((J114+K114),0)</f>
        <v>18</v>
      </c>
      <c r="M114" s="130"/>
      <c r="N114" s="57">
        <f>+R114/L114*G114</f>
        <v>14.8148148148148</v>
      </c>
      <c r="O114" s="57">
        <f>+R114/L114*H114</f>
        <v>0</v>
      </c>
      <c r="P114" s="57">
        <f>+R114/L114*I114</f>
        <v>0</v>
      </c>
      <c r="Q114" s="57">
        <f t="shared" si="18"/>
        <v>14.8148148148148</v>
      </c>
      <c r="R114" s="102">
        <v>16</v>
      </c>
      <c r="S114" s="98"/>
    </row>
    <row r="115" s="15" customFormat="1" ht="43.5" spans="1:19">
      <c r="A115" s="90" t="s">
        <v>407</v>
      </c>
      <c r="B115" s="115" t="s">
        <v>401</v>
      </c>
      <c r="C115" s="115" t="s">
        <v>408</v>
      </c>
      <c r="D115" s="114" t="s">
        <v>185</v>
      </c>
      <c r="E115" s="115" t="s">
        <v>403</v>
      </c>
      <c r="F115" s="116" t="s">
        <v>47</v>
      </c>
      <c r="G115" s="117">
        <f>25/1.2</f>
        <v>20.8333333333333</v>
      </c>
      <c r="H115" s="125"/>
      <c r="I115" s="125"/>
      <c r="J115" s="124">
        <f>G115+H115+I115</f>
        <v>20.8333333333333</v>
      </c>
      <c r="K115" s="117">
        <f>J115*0.1</f>
        <v>2.08333333333333</v>
      </c>
      <c r="L115" s="118">
        <f>ROUND((J115+K115),0)</f>
        <v>23</v>
      </c>
      <c r="M115" s="130"/>
      <c r="N115" s="57">
        <f>+R115/L115*G115</f>
        <v>18.1159420289855</v>
      </c>
      <c r="O115" s="57">
        <f>+R115/L115*H115</f>
        <v>0</v>
      </c>
      <c r="P115" s="57">
        <f>+R115/L115*I115</f>
        <v>0</v>
      </c>
      <c r="Q115" s="57">
        <f t="shared" si="18"/>
        <v>18.1159420289855</v>
      </c>
      <c r="R115" s="102">
        <v>20</v>
      </c>
      <c r="S115" s="98"/>
    </row>
    <row r="116" s="15" customFormat="1" ht="33" customHeight="1" spans="1:19">
      <c r="A116" s="90" t="s">
        <v>409</v>
      </c>
      <c r="B116" s="115" t="s">
        <v>401</v>
      </c>
      <c r="C116" s="115" t="s">
        <v>410</v>
      </c>
      <c r="D116" s="114" t="s">
        <v>185</v>
      </c>
      <c r="E116" s="115" t="s">
        <v>403</v>
      </c>
      <c r="F116" s="126" t="s">
        <v>411</v>
      </c>
      <c r="G116" s="126"/>
      <c r="H116" s="126"/>
      <c r="I116" s="126"/>
      <c r="J116" s="126"/>
      <c r="K116" s="126"/>
      <c r="L116" s="118"/>
      <c r="M116" s="130"/>
      <c r="N116" s="57"/>
      <c r="O116" s="57"/>
      <c r="P116" s="57"/>
      <c r="Q116" s="57">
        <f t="shared" si="18"/>
        <v>0</v>
      </c>
      <c r="R116" s="127"/>
      <c r="S116" s="98"/>
    </row>
    <row r="117" ht="58" spans="1:19">
      <c r="A117" s="87" t="s">
        <v>412</v>
      </c>
      <c r="B117" s="68" t="s">
        <v>413</v>
      </c>
      <c r="C117" s="63" t="s">
        <v>414</v>
      </c>
      <c r="D117" s="68" t="s">
        <v>156</v>
      </c>
      <c r="E117" s="63" t="s">
        <v>96</v>
      </c>
      <c r="F117" s="69" t="s">
        <v>24</v>
      </c>
      <c r="G117" s="79">
        <v>53.295</v>
      </c>
      <c r="H117" s="79"/>
      <c r="I117" s="54">
        <v>10</v>
      </c>
      <c r="J117" s="79">
        <f t="shared" ref="J117:J130" si="26">G117+H117+I117</f>
        <v>63.295</v>
      </c>
      <c r="K117" s="79">
        <f>J117*0.1</f>
        <v>6.3295</v>
      </c>
      <c r="L117" s="101">
        <f t="shared" ref="L117:L130" si="27">ROUND((J117+K117),0)</f>
        <v>70</v>
      </c>
      <c r="M117" s="56" t="s">
        <v>415</v>
      </c>
      <c r="N117" s="57">
        <f t="shared" ref="N117:N130" si="28">+R117/L117*G117</f>
        <v>44.9200714285714</v>
      </c>
      <c r="O117" s="57">
        <f t="shared" ref="O117:O130" si="29">+R117/L117*H117</f>
        <v>0</v>
      </c>
      <c r="P117" s="57">
        <f t="shared" ref="P117:P130" si="30">+R117/L117*I117</f>
        <v>8.42857142857143</v>
      </c>
      <c r="Q117" s="57">
        <f t="shared" si="18"/>
        <v>53.3486428571429</v>
      </c>
      <c r="R117" s="58">
        <v>59</v>
      </c>
      <c r="S117" s="59" t="s">
        <v>416</v>
      </c>
    </row>
    <row r="118" ht="58" spans="1:19">
      <c r="A118" s="87" t="s">
        <v>417</v>
      </c>
      <c r="B118" s="68" t="s">
        <v>418</v>
      </c>
      <c r="C118" s="63" t="s">
        <v>419</v>
      </c>
      <c r="D118" s="68" t="s">
        <v>156</v>
      </c>
      <c r="E118" s="63" t="s">
        <v>96</v>
      </c>
      <c r="F118" s="69" t="s">
        <v>24</v>
      </c>
      <c r="G118" s="79">
        <v>56.1</v>
      </c>
      <c r="H118" s="79"/>
      <c r="I118" s="54">
        <v>10</v>
      </c>
      <c r="J118" s="79">
        <f t="shared" si="26"/>
        <v>66.1</v>
      </c>
      <c r="K118" s="79">
        <f t="shared" ref="K118:K130" si="31">J118*0.1</f>
        <v>6.61</v>
      </c>
      <c r="L118" s="101">
        <f t="shared" si="27"/>
        <v>73</v>
      </c>
      <c r="M118" s="56" t="s">
        <v>415</v>
      </c>
      <c r="N118" s="57">
        <f t="shared" si="28"/>
        <v>47.6465753424658</v>
      </c>
      <c r="O118" s="57">
        <f t="shared" si="29"/>
        <v>0</v>
      </c>
      <c r="P118" s="57">
        <f t="shared" si="30"/>
        <v>8.49315068493151</v>
      </c>
      <c r="Q118" s="57">
        <f t="shared" si="18"/>
        <v>56.1397260273973</v>
      </c>
      <c r="R118" s="58">
        <v>62</v>
      </c>
      <c r="S118" s="59" t="s">
        <v>416</v>
      </c>
    </row>
    <row r="119" ht="29" spans="1:19">
      <c r="A119" s="87" t="s">
        <v>420</v>
      </c>
      <c r="B119" s="68" t="s">
        <v>421</v>
      </c>
      <c r="C119" s="63" t="s">
        <v>422</v>
      </c>
      <c r="D119" s="68"/>
      <c r="E119" s="63" t="s">
        <v>422</v>
      </c>
      <c r="F119" s="69" t="s">
        <v>24</v>
      </c>
      <c r="G119" s="79">
        <v>5.61</v>
      </c>
      <c r="H119" s="79"/>
      <c r="I119" s="54">
        <v>2.63</v>
      </c>
      <c r="J119" s="79">
        <f t="shared" si="26"/>
        <v>8.24</v>
      </c>
      <c r="K119" s="79">
        <f t="shared" si="31"/>
        <v>0.824</v>
      </c>
      <c r="L119" s="101">
        <f t="shared" si="27"/>
        <v>9</v>
      </c>
      <c r="M119" s="67"/>
      <c r="N119" s="57">
        <f t="shared" si="28"/>
        <v>4.98666666666667</v>
      </c>
      <c r="O119" s="57">
        <f t="shared" si="29"/>
        <v>0</v>
      </c>
      <c r="P119" s="57">
        <f t="shared" si="30"/>
        <v>2.33777777777778</v>
      </c>
      <c r="Q119" s="57">
        <f t="shared" si="18"/>
        <v>7.32444444444444</v>
      </c>
      <c r="R119" s="58">
        <v>8</v>
      </c>
      <c r="S119" s="59"/>
    </row>
    <row r="120" ht="58" spans="1:19">
      <c r="A120" s="87" t="s">
        <v>423</v>
      </c>
      <c r="B120" s="68" t="s">
        <v>424</v>
      </c>
      <c r="C120" s="63" t="s">
        <v>414</v>
      </c>
      <c r="D120" s="68" t="s">
        <v>156</v>
      </c>
      <c r="E120" s="63" t="s">
        <v>96</v>
      </c>
      <c r="F120" s="69" t="s">
        <v>24</v>
      </c>
      <c r="G120" s="79">
        <v>67.4843333333334</v>
      </c>
      <c r="H120" s="79"/>
      <c r="I120" s="54">
        <v>10</v>
      </c>
      <c r="J120" s="79">
        <f t="shared" si="26"/>
        <v>77.4843333333334</v>
      </c>
      <c r="K120" s="79">
        <f t="shared" si="31"/>
        <v>7.74843333333334</v>
      </c>
      <c r="L120" s="101">
        <f t="shared" si="27"/>
        <v>85</v>
      </c>
      <c r="M120" s="56" t="s">
        <v>415</v>
      </c>
      <c r="N120" s="57">
        <f t="shared" si="28"/>
        <v>57.1632000000001</v>
      </c>
      <c r="O120" s="57">
        <f t="shared" si="29"/>
        <v>0</v>
      </c>
      <c r="P120" s="57">
        <f t="shared" si="30"/>
        <v>8.47058823529412</v>
      </c>
      <c r="Q120" s="57">
        <f t="shared" si="18"/>
        <v>65.6337882352942</v>
      </c>
      <c r="R120" s="102">
        <v>72</v>
      </c>
      <c r="S120" s="59" t="s">
        <v>416</v>
      </c>
    </row>
    <row r="121" ht="43.5" spans="1:19">
      <c r="A121" s="87" t="s">
        <v>425</v>
      </c>
      <c r="B121" s="68" t="s">
        <v>426</v>
      </c>
      <c r="C121" s="63" t="s">
        <v>427</v>
      </c>
      <c r="D121" s="68" t="s">
        <v>156</v>
      </c>
      <c r="E121" s="63" t="s">
        <v>428</v>
      </c>
      <c r="F121" s="69" t="s">
        <v>24</v>
      </c>
      <c r="G121" s="79">
        <v>60.5466333333333</v>
      </c>
      <c r="H121" s="79"/>
      <c r="I121" s="54">
        <v>10</v>
      </c>
      <c r="J121" s="79">
        <f t="shared" si="26"/>
        <v>70.5466333333333</v>
      </c>
      <c r="K121" s="79">
        <f t="shared" si="31"/>
        <v>7.05466333333333</v>
      </c>
      <c r="L121" s="101">
        <f t="shared" si="27"/>
        <v>78</v>
      </c>
      <c r="M121" s="56" t="s">
        <v>415</v>
      </c>
      <c r="N121" s="57">
        <f t="shared" si="28"/>
        <v>50.4555277777777</v>
      </c>
      <c r="O121" s="57">
        <f t="shared" si="29"/>
        <v>0</v>
      </c>
      <c r="P121" s="57">
        <f t="shared" si="30"/>
        <v>8.33333333333333</v>
      </c>
      <c r="Q121" s="57">
        <f t="shared" si="18"/>
        <v>58.7888611111111</v>
      </c>
      <c r="R121" s="58">
        <v>65</v>
      </c>
      <c r="S121" s="59" t="s">
        <v>416</v>
      </c>
    </row>
    <row r="122" ht="58" spans="1:19">
      <c r="A122" s="87" t="s">
        <v>429</v>
      </c>
      <c r="B122" s="68" t="s">
        <v>430</v>
      </c>
      <c r="C122" s="63" t="s">
        <v>431</v>
      </c>
      <c r="D122" s="68" t="s">
        <v>156</v>
      </c>
      <c r="E122" s="63" t="s">
        <v>432</v>
      </c>
      <c r="F122" s="69" t="s">
        <v>24</v>
      </c>
      <c r="G122" s="79">
        <v>59.84</v>
      </c>
      <c r="H122" s="79"/>
      <c r="I122" s="54">
        <v>11</v>
      </c>
      <c r="J122" s="79">
        <f t="shared" si="26"/>
        <v>70.84</v>
      </c>
      <c r="K122" s="79">
        <f t="shared" si="31"/>
        <v>7.084</v>
      </c>
      <c r="L122" s="101">
        <f t="shared" si="27"/>
        <v>78</v>
      </c>
      <c r="M122" s="56" t="s">
        <v>415</v>
      </c>
      <c r="N122" s="57">
        <f t="shared" si="28"/>
        <v>49.8666666666667</v>
      </c>
      <c r="O122" s="57">
        <f t="shared" si="29"/>
        <v>0</v>
      </c>
      <c r="P122" s="57">
        <f t="shared" si="30"/>
        <v>9.16666666666667</v>
      </c>
      <c r="Q122" s="57">
        <f t="shared" si="18"/>
        <v>59.0333333333333</v>
      </c>
      <c r="R122" s="58">
        <v>65</v>
      </c>
      <c r="S122" s="59" t="s">
        <v>433</v>
      </c>
    </row>
    <row r="123" ht="58" spans="1:19">
      <c r="A123" s="87" t="s">
        <v>434</v>
      </c>
      <c r="B123" s="68" t="s">
        <v>435</v>
      </c>
      <c r="C123" s="63" t="s">
        <v>436</v>
      </c>
      <c r="D123" s="68" t="s">
        <v>156</v>
      </c>
      <c r="E123" s="63" t="s">
        <v>437</v>
      </c>
      <c r="F123" s="69" t="s">
        <v>24</v>
      </c>
      <c r="G123" s="79">
        <v>75.2488</v>
      </c>
      <c r="H123" s="79"/>
      <c r="I123" s="54">
        <v>17</v>
      </c>
      <c r="J123" s="79">
        <f t="shared" si="26"/>
        <v>92.2488</v>
      </c>
      <c r="K123" s="79">
        <f t="shared" si="31"/>
        <v>9.22488</v>
      </c>
      <c r="L123" s="101">
        <f t="shared" si="27"/>
        <v>101</v>
      </c>
      <c r="M123" s="105"/>
      <c r="N123" s="57">
        <f t="shared" si="28"/>
        <v>63.328198019802</v>
      </c>
      <c r="O123" s="57">
        <f t="shared" si="29"/>
        <v>0</v>
      </c>
      <c r="P123" s="57">
        <f t="shared" si="30"/>
        <v>14.3069306930693</v>
      </c>
      <c r="Q123" s="57">
        <f t="shared" si="18"/>
        <v>77.6351287128713</v>
      </c>
      <c r="R123" s="58">
        <v>85</v>
      </c>
      <c r="S123" s="59"/>
    </row>
    <row r="124" ht="58" spans="1:19">
      <c r="A124" s="87" t="s">
        <v>438</v>
      </c>
      <c r="B124" s="68" t="s">
        <v>439</v>
      </c>
      <c r="C124" s="63" t="s">
        <v>440</v>
      </c>
      <c r="D124" s="68" t="s">
        <v>156</v>
      </c>
      <c r="E124" s="63"/>
      <c r="F124" s="69" t="s">
        <v>24</v>
      </c>
      <c r="G124" s="79">
        <v>93.5</v>
      </c>
      <c r="H124" s="79"/>
      <c r="I124" s="79">
        <v>4.6537942</v>
      </c>
      <c r="J124" s="79">
        <f t="shared" si="26"/>
        <v>98.1537942</v>
      </c>
      <c r="K124" s="79">
        <f t="shared" si="31"/>
        <v>9.81537942</v>
      </c>
      <c r="L124" s="101">
        <f t="shared" si="27"/>
        <v>108</v>
      </c>
      <c r="M124" s="67"/>
      <c r="N124" s="57">
        <f t="shared" si="28"/>
        <v>77.9166666666667</v>
      </c>
      <c r="O124" s="57">
        <f t="shared" si="29"/>
        <v>0</v>
      </c>
      <c r="P124" s="57">
        <f t="shared" si="30"/>
        <v>3.87816183333333</v>
      </c>
      <c r="Q124" s="57">
        <f t="shared" si="18"/>
        <v>81.7948285</v>
      </c>
      <c r="R124" s="58">
        <v>90</v>
      </c>
      <c r="S124" s="59"/>
    </row>
    <row r="125" ht="87" spans="1:19">
      <c r="A125" s="87" t="s">
        <v>441</v>
      </c>
      <c r="B125" s="68" t="s">
        <v>442</v>
      </c>
      <c r="C125" s="63" t="s">
        <v>443</v>
      </c>
      <c r="D125" s="68" t="s">
        <v>156</v>
      </c>
      <c r="E125" s="63" t="s">
        <v>444</v>
      </c>
      <c r="F125" s="69" t="s">
        <v>24</v>
      </c>
      <c r="G125" s="79">
        <v>56.1</v>
      </c>
      <c r="H125" s="79"/>
      <c r="I125" s="79">
        <v>5</v>
      </c>
      <c r="J125" s="79">
        <f t="shared" si="26"/>
        <v>61.1</v>
      </c>
      <c r="K125" s="79">
        <f t="shared" si="31"/>
        <v>6.11</v>
      </c>
      <c r="L125" s="101">
        <f t="shared" si="27"/>
        <v>67</v>
      </c>
      <c r="M125" s="67" t="s">
        <v>445</v>
      </c>
      <c r="N125" s="57">
        <f t="shared" si="28"/>
        <v>36.8417910447761</v>
      </c>
      <c r="O125" s="57">
        <f t="shared" si="29"/>
        <v>0</v>
      </c>
      <c r="P125" s="57">
        <f t="shared" si="30"/>
        <v>3.28358208955224</v>
      </c>
      <c r="Q125" s="57">
        <f t="shared" si="18"/>
        <v>40.1253731343284</v>
      </c>
      <c r="R125" s="58">
        <v>44</v>
      </c>
      <c r="S125" s="59" t="s">
        <v>446</v>
      </c>
    </row>
    <row r="126" ht="58" spans="1:19">
      <c r="A126" s="87" t="s">
        <v>447</v>
      </c>
      <c r="B126" s="68" t="s">
        <v>448</v>
      </c>
      <c r="C126" s="63" t="s">
        <v>449</v>
      </c>
      <c r="D126" s="68" t="s">
        <v>156</v>
      </c>
      <c r="E126" s="63" t="s">
        <v>450</v>
      </c>
      <c r="F126" s="69" t="s">
        <v>24</v>
      </c>
      <c r="G126" s="79">
        <v>32.04245</v>
      </c>
      <c r="H126" s="79">
        <v>25.76574</v>
      </c>
      <c r="I126" s="54">
        <v>6</v>
      </c>
      <c r="J126" s="79">
        <f t="shared" si="26"/>
        <v>63.80819</v>
      </c>
      <c r="K126" s="79">
        <f t="shared" si="31"/>
        <v>6.380819</v>
      </c>
      <c r="L126" s="101">
        <f t="shared" si="27"/>
        <v>70</v>
      </c>
      <c r="M126" s="105"/>
      <c r="N126" s="57">
        <f t="shared" si="28"/>
        <v>19.7747691428571</v>
      </c>
      <c r="O126" s="57">
        <f t="shared" si="29"/>
        <v>15.9011424</v>
      </c>
      <c r="P126" s="57">
        <f t="shared" si="30"/>
        <v>3.70285714285714</v>
      </c>
      <c r="Q126" s="57">
        <f t="shared" si="18"/>
        <v>39.3787686857143</v>
      </c>
      <c r="R126" s="58">
        <v>43.2</v>
      </c>
      <c r="S126" s="59"/>
    </row>
    <row r="127" ht="58" spans="1:19">
      <c r="A127" s="87" t="s">
        <v>451</v>
      </c>
      <c r="B127" s="68" t="s">
        <v>448</v>
      </c>
      <c r="C127" s="63" t="s">
        <v>452</v>
      </c>
      <c r="D127" s="68" t="s">
        <v>156</v>
      </c>
      <c r="E127" s="63" t="s">
        <v>450</v>
      </c>
      <c r="F127" s="69" t="s">
        <v>24</v>
      </c>
      <c r="G127" s="79">
        <v>39.9245</v>
      </c>
      <c r="H127" s="79">
        <v>34.1586</v>
      </c>
      <c r="I127" s="54">
        <v>10</v>
      </c>
      <c r="J127" s="79">
        <f t="shared" si="26"/>
        <v>84.0831</v>
      </c>
      <c r="K127" s="79">
        <f t="shared" si="31"/>
        <v>8.40831</v>
      </c>
      <c r="L127" s="101">
        <f t="shared" si="27"/>
        <v>92</v>
      </c>
      <c r="M127" s="105"/>
      <c r="N127" s="57">
        <f t="shared" si="28"/>
        <v>28.1207347826087</v>
      </c>
      <c r="O127" s="57">
        <f t="shared" si="29"/>
        <v>24.0595356521739</v>
      </c>
      <c r="P127" s="57">
        <f t="shared" si="30"/>
        <v>7.04347826086956</v>
      </c>
      <c r="Q127" s="57">
        <f t="shared" si="18"/>
        <v>59.2237486956522</v>
      </c>
      <c r="R127" s="58">
        <v>64.8</v>
      </c>
      <c r="S127" s="59"/>
    </row>
    <row r="128" ht="29" spans="1:19">
      <c r="A128" s="87" t="s">
        <v>453</v>
      </c>
      <c r="B128" s="68" t="s">
        <v>454</v>
      </c>
      <c r="C128" s="69" t="s">
        <v>455</v>
      </c>
      <c r="D128" s="68" t="s">
        <v>156</v>
      </c>
      <c r="E128" s="63" t="s">
        <v>456</v>
      </c>
      <c r="F128" s="69" t="s">
        <v>24</v>
      </c>
      <c r="G128" s="79">
        <v>17.06936</v>
      </c>
      <c r="H128" s="79"/>
      <c r="I128" s="54">
        <v>6.401400093</v>
      </c>
      <c r="J128" s="79">
        <f t="shared" si="26"/>
        <v>23.470760093</v>
      </c>
      <c r="K128" s="79">
        <f t="shared" si="31"/>
        <v>2.3470760093</v>
      </c>
      <c r="L128" s="101">
        <f t="shared" si="27"/>
        <v>26</v>
      </c>
      <c r="M128" s="105"/>
      <c r="N128" s="57">
        <f t="shared" si="28"/>
        <v>15.0998184615385</v>
      </c>
      <c r="O128" s="57">
        <f t="shared" si="29"/>
        <v>0</v>
      </c>
      <c r="P128" s="57">
        <f t="shared" si="30"/>
        <v>5.66277700534615</v>
      </c>
      <c r="Q128" s="57">
        <f t="shared" si="18"/>
        <v>20.7625954668846</v>
      </c>
      <c r="R128" s="58">
        <v>23</v>
      </c>
      <c r="S128" s="59"/>
    </row>
    <row r="129" ht="43.5" spans="1:19">
      <c r="A129" s="87" t="s">
        <v>457</v>
      </c>
      <c r="B129" s="75" t="s">
        <v>117</v>
      </c>
      <c r="C129" s="63" t="s">
        <v>118</v>
      </c>
      <c r="D129" s="55" t="s">
        <v>119</v>
      </c>
      <c r="E129" s="63" t="s">
        <v>120</v>
      </c>
      <c r="F129" s="55" t="s">
        <v>24</v>
      </c>
      <c r="G129" s="79">
        <v>0.8415</v>
      </c>
      <c r="H129" s="55"/>
      <c r="I129" s="55">
        <v>3.492</v>
      </c>
      <c r="J129" s="79">
        <f t="shared" si="26"/>
        <v>4.3335</v>
      </c>
      <c r="K129" s="79">
        <f t="shared" si="31"/>
        <v>0.43335</v>
      </c>
      <c r="L129" s="101">
        <f t="shared" si="27"/>
        <v>5</v>
      </c>
      <c r="M129" s="105"/>
      <c r="N129" s="57">
        <f t="shared" si="28"/>
        <v>0.5049</v>
      </c>
      <c r="O129" s="57">
        <f t="shared" si="29"/>
        <v>0</v>
      </c>
      <c r="P129" s="57">
        <f t="shared" si="30"/>
        <v>2.0952</v>
      </c>
      <c r="Q129" s="57">
        <f t="shared" si="18"/>
        <v>2.6001</v>
      </c>
      <c r="R129" s="102">
        <v>3</v>
      </c>
      <c r="S129" s="59"/>
    </row>
    <row r="130" ht="43.5" spans="1:19">
      <c r="A130" s="87" t="s">
        <v>458</v>
      </c>
      <c r="B130" s="68" t="s">
        <v>459</v>
      </c>
      <c r="C130" s="63" t="s">
        <v>460</v>
      </c>
      <c r="D130" s="68" t="s">
        <v>185</v>
      </c>
      <c r="E130" s="63" t="s">
        <v>461</v>
      </c>
      <c r="F130" s="69" t="s">
        <v>47</v>
      </c>
      <c r="G130" s="54">
        <v>4</v>
      </c>
      <c r="H130" s="79"/>
      <c r="I130" s="54"/>
      <c r="J130" s="79">
        <f t="shared" si="26"/>
        <v>4</v>
      </c>
      <c r="K130" s="79">
        <f t="shared" si="31"/>
        <v>0.4</v>
      </c>
      <c r="L130" s="101">
        <f t="shared" si="27"/>
        <v>4</v>
      </c>
      <c r="M130" s="105"/>
      <c r="N130" s="57">
        <f t="shared" si="28"/>
        <v>4</v>
      </c>
      <c r="O130" s="57">
        <f t="shared" si="29"/>
        <v>0</v>
      </c>
      <c r="P130" s="57">
        <f t="shared" si="30"/>
        <v>0</v>
      </c>
      <c r="Q130" s="57">
        <f t="shared" si="18"/>
        <v>4</v>
      </c>
      <c r="R130" s="102">
        <v>4</v>
      </c>
      <c r="S130" s="59"/>
    </row>
    <row r="131" s="14" customFormat="1" ht="22.5" customHeight="1" spans="1:19">
      <c r="A131" s="131" t="s">
        <v>462</v>
      </c>
      <c r="B131" s="43"/>
      <c r="C131" s="132"/>
      <c r="D131" s="133"/>
      <c r="E131" s="133"/>
      <c r="F131" s="133"/>
      <c r="G131" s="133"/>
      <c r="H131" s="133"/>
      <c r="I131" s="133"/>
      <c r="J131" s="133"/>
      <c r="K131" s="133"/>
      <c r="L131" s="133"/>
      <c r="M131" s="134"/>
      <c r="N131" s="57"/>
      <c r="O131" s="57"/>
      <c r="P131" s="57"/>
      <c r="Q131" s="57">
        <f t="shared" si="18"/>
        <v>0</v>
      </c>
      <c r="R131" s="135"/>
      <c r="S131" s="86"/>
    </row>
    <row r="132" spans="1:19">
      <c r="A132" s="106" t="s">
        <v>264</v>
      </c>
      <c r="B132" s="107" t="s">
        <v>463</v>
      </c>
      <c r="C132" s="108"/>
      <c r="D132" s="109"/>
      <c r="E132" s="109"/>
      <c r="F132" s="109"/>
      <c r="G132" s="136"/>
      <c r="H132" s="136"/>
      <c r="I132" s="136"/>
      <c r="J132" s="136"/>
      <c r="K132" s="136"/>
      <c r="L132" s="137"/>
      <c r="M132" s="138"/>
      <c r="N132" s="57"/>
      <c r="O132" s="57"/>
      <c r="P132" s="57"/>
      <c r="Q132" s="57">
        <f t="shared" si="18"/>
        <v>0</v>
      </c>
      <c r="R132" s="58"/>
      <c r="S132" s="59"/>
    </row>
    <row r="133" ht="43.5" spans="1:19">
      <c r="A133" s="87" t="s">
        <v>464</v>
      </c>
      <c r="B133" s="63" t="s">
        <v>465</v>
      </c>
      <c r="C133" s="63" t="s">
        <v>466</v>
      </c>
      <c r="D133" s="139"/>
      <c r="E133" s="139"/>
      <c r="F133" s="140" t="s">
        <v>150</v>
      </c>
      <c r="G133" s="136"/>
      <c r="H133" s="136">
        <f>690/1.2</f>
        <v>575</v>
      </c>
      <c r="I133" s="136"/>
      <c r="J133" s="79">
        <f t="shared" ref="J133:J149" si="32">G133+H133+I133</f>
        <v>575</v>
      </c>
      <c r="K133" s="79">
        <f>J133*0.1</f>
        <v>57.5</v>
      </c>
      <c r="L133" s="101">
        <f t="shared" ref="L133:L149" si="33">ROUND((J133+K133),0)</f>
        <v>633</v>
      </c>
      <c r="M133" s="67" t="s">
        <v>467</v>
      </c>
      <c r="N133" s="57">
        <f t="shared" ref="N133:N149" si="34">+R133/L133*G133</f>
        <v>0</v>
      </c>
      <c r="O133" s="57">
        <f t="shared" ref="O133:O149" si="35">+R133/L133*H133</f>
        <v>522.314375987362</v>
      </c>
      <c r="P133" s="57">
        <f t="shared" ref="P133:P149" si="36">+R133/L133*I133</f>
        <v>0</v>
      </c>
      <c r="Q133" s="57">
        <f t="shared" si="18"/>
        <v>522.314375987362</v>
      </c>
      <c r="R133" s="102">
        <v>575</v>
      </c>
      <c r="S133" s="59"/>
    </row>
    <row r="134" ht="29" spans="1:19">
      <c r="A134" s="87" t="s">
        <v>468</v>
      </c>
      <c r="B134" s="63" t="s">
        <v>469</v>
      </c>
      <c r="C134" s="63" t="s">
        <v>470</v>
      </c>
      <c r="D134" s="139"/>
      <c r="E134" s="139"/>
      <c r="F134" s="140" t="s">
        <v>150</v>
      </c>
      <c r="G134" s="136"/>
      <c r="H134" s="136">
        <f>684.4/1.2</f>
        <v>570.333333333333</v>
      </c>
      <c r="I134" s="136"/>
      <c r="J134" s="79">
        <f t="shared" si="32"/>
        <v>570.333333333333</v>
      </c>
      <c r="K134" s="79">
        <f t="shared" ref="K134:K165" si="37">J134*0.1</f>
        <v>57.0333333333333</v>
      </c>
      <c r="L134" s="101">
        <f t="shared" si="33"/>
        <v>627</v>
      </c>
      <c r="M134" s="67" t="s">
        <v>471</v>
      </c>
      <c r="N134" s="57">
        <f t="shared" si="34"/>
        <v>0</v>
      </c>
      <c r="O134" s="57">
        <f t="shared" si="35"/>
        <v>518.484848484848</v>
      </c>
      <c r="P134" s="57">
        <f t="shared" si="36"/>
        <v>0</v>
      </c>
      <c r="Q134" s="57">
        <f t="shared" si="18"/>
        <v>518.484848484848</v>
      </c>
      <c r="R134" s="102">
        <v>570</v>
      </c>
      <c r="S134" s="59"/>
    </row>
    <row r="135" ht="29" spans="1:19">
      <c r="A135" s="87" t="s">
        <v>472</v>
      </c>
      <c r="B135" s="63" t="s">
        <v>465</v>
      </c>
      <c r="C135" s="63" t="s">
        <v>473</v>
      </c>
      <c r="D135" s="139"/>
      <c r="E135" s="139"/>
      <c r="F135" s="140" t="s">
        <v>150</v>
      </c>
      <c r="G135" s="136"/>
      <c r="H135" s="136">
        <f>345/1.2</f>
        <v>287.5</v>
      </c>
      <c r="I135" s="136"/>
      <c r="J135" s="79">
        <f t="shared" si="32"/>
        <v>287.5</v>
      </c>
      <c r="K135" s="79">
        <f t="shared" si="37"/>
        <v>28.75</v>
      </c>
      <c r="L135" s="101">
        <f t="shared" si="33"/>
        <v>316</v>
      </c>
      <c r="M135" s="67" t="s">
        <v>474</v>
      </c>
      <c r="N135" s="57">
        <f t="shared" si="34"/>
        <v>0</v>
      </c>
      <c r="O135" s="57">
        <f t="shared" si="35"/>
        <v>262.025316455696</v>
      </c>
      <c r="P135" s="57">
        <f t="shared" si="36"/>
        <v>0</v>
      </c>
      <c r="Q135" s="57">
        <f t="shared" ref="Q135:Q198" si="38">SUM(N135:P135)</f>
        <v>262.025316455696</v>
      </c>
      <c r="R135" s="102">
        <v>288</v>
      </c>
      <c r="S135" s="59"/>
    </row>
    <row r="136" ht="29" spans="1:19">
      <c r="A136" s="87" t="s">
        <v>475</v>
      </c>
      <c r="B136" s="63" t="s">
        <v>465</v>
      </c>
      <c r="C136" s="63" t="s">
        <v>476</v>
      </c>
      <c r="D136" s="139"/>
      <c r="E136" s="139"/>
      <c r="F136" s="140" t="s">
        <v>150</v>
      </c>
      <c r="G136" s="136"/>
      <c r="H136" s="136">
        <f>1200/1.2</f>
        <v>1000</v>
      </c>
      <c r="I136" s="136"/>
      <c r="J136" s="79">
        <f t="shared" si="32"/>
        <v>1000</v>
      </c>
      <c r="K136" s="79">
        <f t="shared" si="37"/>
        <v>100</v>
      </c>
      <c r="L136" s="101">
        <f t="shared" si="33"/>
        <v>1100</v>
      </c>
      <c r="M136" s="67" t="s">
        <v>474</v>
      </c>
      <c r="N136" s="57">
        <f t="shared" si="34"/>
        <v>0</v>
      </c>
      <c r="O136" s="57">
        <f t="shared" si="35"/>
        <v>909.090909090909</v>
      </c>
      <c r="P136" s="57">
        <f t="shared" si="36"/>
        <v>0</v>
      </c>
      <c r="Q136" s="57">
        <f t="shared" si="38"/>
        <v>909.090909090909</v>
      </c>
      <c r="R136" s="102">
        <v>1000</v>
      </c>
      <c r="S136" s="59"/>
    </row>
    <row r="137" ht="43.5" spans="1:19">
      <c r="A137" s="87" t="s">
        <v>477</v>
      </c>
      <c r="B137" s="63" t="s">
        <v>478</v>
      </c>
      <c r="C137" s="63" t="s">
        <v>479</v>
      </c>
      <c r="D137" s="139"/>
      <c r="E137" s="139"/>
      <c r="F137" s="140" t="s">
        <v>150</v>
      </c>
      <c r="G137" s="136"/>
      <c r="H137" s="136">
        <f>1600/1.2</f>
        <v>1333.33333333333</v>
      </c>
      <c r="I137" s="136"/>
      <c r="J137" s="79">
        <f t="shared" si="32"/>
        <v>1333.33333333333</v>
      </c>
      <c r="K137" s="79">
        <f t="shared" si="37"/>
        <v>133.333333333333</v>
      </c>
      <c r="L137" s="101">
        <f t="shared" si="33"/>
        <v>1467</v>
      </c>
      <c r="M137" s="67" t="s">
        <v>467</v>
      </c>
      <c r="N137" s="57">
        <f t="shared" si="34"/>
        <v>0</v>
      </c>
      <c r="O137" s="57">
        <f t="shared" si="35"/>
        <v>1211.54283117473</v>
      </c>
      <c r="P137" s="57">
        <f t="shared" si="36"/>
        <v>0</v>
      </c>
      <c r="Q137" s="57">
        <f t="shared" si="38"/>
        <v>1211.54283117473</v>
      </c>
      <c r="R137" s="102">
        <v>1333</v>
      </c>
      <c r="S137" s="59"/>
    </row>
    <row r="138" ht="43.5" spans="1:19">
      <c r="A138" s="87" t="s">
        <v>480</v>
      </c>
      <c r="B138" s="63" t="s">
        <v>481</v>
      </c>
      <c r="C138" s="63" t="s">
        <v>482</v>
      </c>
      <c r="D138" s="139"/>
      <c r="E138" s="139"/>
      <c r="F138" s="140" t="s">
        <v>150</v>
      </c>
      <c r="G138" s="136"/>
      <c r="H138" s="136">
        <f>4200/1.2</f>
        <v>3500</v>
      </c>
      <c r="I138" s="136"/>
      <c r="J138" s="79">
        <f t="shared" si="32"/>
        <v>3500</v>
      </c>
      <c r="K138" s="79">
        <f t="shared" si="37"/>
        <v>350</v>
      </c>
      <c r="L138" s="101">
        <f t="shared" si="33"/>
        <v>3850</v>
      </c>
      <c r="M138" s="67" t="s">
        <v>467</v>
      </c>
      <c r="N138" s="57">
        <f t="shared" si="34"/>
        <v>0</v>
      </c>
      <c r="O138" s="57">
        <f t="shared" si="35"/>
        <v>3181.81818181818</v>
      </c>
      <c r="P138" s="57">
        <f t="shared" si="36"/>
        <v>0</v>
      </c>
      <c r="Q138" s="57">
        <f t="shared" si="38"/>
        <v>3181.81818181818</v>
      </c>
      <c r="R138" s="102">
        <v>3500</v>
      </c>
      <c r="S138" s="59"/>
    </row>
    <row r="139" ht="29" spans="1:19">
      <c r="A139" s="87" t="s">
        <v>483</v>
      </c>
      <c r="B139" s="63" t="s">
        <v>484</v>
      </c>
      <c r="C139" s="63" t="s">
        <v>485</v>
      </c>
      <c r="D139" s="139"/>
      <c r="E139" s="139"/>
      <c r="F139" s="140" t="s">
        <v>150</v>
      </c>
      <c r="G139" s="136"/>
      <c r="H139" s="136">
        <f>930/1.2</f>
        <v>775</v>
      </c>
      <c r="I139" s="136"/>
      <c r="J139" s="79">
        <f t="shared" si="32"/>
        <v>775</v>
      </c>
      <c r="K139" s="79">
        <f t="shared" si="37"/>
        <v>77.5</v>
      </c>
      <c r="L139" s="101">
        <f t="shared" si="33"/>
        <v>853</v>
      </c>
      <c r="M139" s="67" t="s">
        <v>486</v>
      </c>
      <c r="N139" s="57">
        <f t="shared" si="34"/>
        <v>0</v>
      </c>
      <c r="O139" s="57">
        <f t="shared" si="35"/>
        <v>704.132473622509</v>
      </c>
      <c r="P139" s="57">
        <f t="shared" si="36"/>
        <v>0</v>
      </c>
      <c r="Q139" s="57">
        <f t="shared" si="38"/>
        <v>704.132473622509</v>
      </c>
      <c r="R139" s="102">
        <v>775</v>
      </c>
      <c r="S139" s="59"/>
    </row>
    <row r="140" ht="29" spans="1:19">
      <c r="A140" s="87" t="s">
        <v>487</v>
      </c>
      <c r="B140" s="63" t="s">
        <v>488</v>
      </c>
      <c r="C140" s="63" t="s">
        <v>485</v>
      </c>
      <c r="D140" s="139"/>
      <c r="E140" s="139"/>
      <c r="F140" s="140" t="s">
        <v>150</v>
      </c>
      <c r="G140" s="136"/>
      <c r="H140" s="136">
        <f>1050/1.2</f>
        <v>875</v>
      </c>
      <c r="I140" s="136"/>
      <c r="J140" s="79">
        <f t="shared" si="32"/>
        <v>875</v>
      </c>
      <c r="K140" s="79">
        <f t="shared" si="37"/>
        <v>87.5</v>
      </c>
      <c r="L140" s="101">
        <f t="shared" si="33"/>
        <v>963</v>
      </c>
      <c r="M140" s="67" t="s">
        <v>486</v>
      </c>
      <c r="N140" s="57">
        <f t="shared" si="34"/>
        <v>0</v>
      </c>
      <c r="O140" s="57">
        <f t="shared" si="35"/>
        <v>795.041536863967</v>
      </c>
      <c r="P140" s="57">
        <f t="shared" si="36"/>
        <v>0</v>
      </c>
      <c r="Q140" s="57">
        <f t="shared" si="38"/>
        <v>795.041536863967</v>
      </c>
      <c r="R140" s="102">
        <v>875</v>
      </c>
      <c r="S140" s="59"/>
    </row>
    <row r="141" ht="29" spans="1:19">
      <c r="A141" s="87" t="s">
        <v>489</v>
      </c>
      <c r="B141" s="63" t="s">
        <v>490</v>
      </c>
      <c r="C141" s="63" t="s">
        <v>485</v>
      </c>
      <c r="D141" s="139"/>
      <c r="E141" s="139"/>
      <c r="F141" s="140" t="s">
        <v>150</v>
      </c>
      <c r="G141" s="136"/>
      <c r="H141" s="136">
        <f>1120/1.2</f>
        <v>933.333333333333</v>
      </c>
      <c r="I141" s="136"/>
      <c r="J141" s="79">
        <f t="shared" si="32"/>
        <v>933.333333333333</v>
      </c>
      <c r="K141" s="79">
        <f t="shared" si="37"/>
        <v>93.3333333333333</v>
      </c>
      <c r="L141" s="101">
        <f t="shared" si="33"/>
        <v>1027</v>
      </c>
      <c r="M141" s="67" t="s">
        <v>486</v>
      </c>
      <c r="N141" s="57">
        <f t="shared" si="34"/>
        <v>0</v>
      </c>
      <c r="O141" s="57">
        <f t="shared" si="35"/>
        <v>847.906523855891</v>
      </c>
      <c r="P141" s="57">
        <f t="shared" si="36"/>
        <v>0</v>
      </c>
      <c r="Q141" s="57">
        <f t="shared" si="38"/>
        <v>847.906523855891</v>
      </c>
      <c r="R141" s="102">
        <v>933</v>
      </c>
      <c r="S141" s="59"/>
    </row>
    <row r="142" ht="29" spans="1:19">
      <c r="A142" s="87" t="s">
        <v>491</v>
      </c>
      <c r="B142" s="63" t="s">
        <v>492</v>
      </c>
      <c r="C142" s="63" t="s">
        <v>493</v>
      </c>
      <c r="D142" s="139"/>
      <c r="E142" s="139"/>
      <c r="F142" s="140" t="s">
        <v>494</v>
      </c>
      <c r="G142" s="136"/>
      <c r="H142" s="136">
        <f>750/1.2</f>
        <v>625</v>
      </c>
      <c r="I142" s="136"/>
      <c r="J142" s="79">
        <f t="shared" si="32"/>
        <v>625</v>
      </c>
      <c r="K142" s="79">
        <f t="shared" si="37"/>
        <v>62.5</v>
      </c>
      <c r="L142" s="101">
        <f t="shared" si="33"/>
        <v>688</v>
      </c>
      <c r="M142" s="67" t="s">
        <v>486</v>
      </c>
      <c r="N142" s="57">
        <f t="shared" si="34"/>
        <v>0</v>
      </c>
      <c r="O142" s="57">
        <f t="shared" si="35"/>
        <v>567.768895348837</v>
      </c>
      <c r="P142" s="57">
        <f t="shared" si="36"/>
        <v>0</v>
      </c>
      <c r="Q142" s="57">
        <f t="shared" si="38"/>
        <v>567.768895348837</v>
      </c>
      <c r="R142" s="102">
        <v>625</v>
      </c>
      <c r="S142" s="59"/>
    </row>
    <row r="143" ht="29" spans="1:19">
      <c r="A143" s="87" t="s">
        <v>495</v>
      </c>
      <c r="B143" s="141" t="s">
        <v>496</v>
      </c>
      <c r="C143" s="142" t="s">
        <v>497</v>
      </c>
      <c r="D143" s="139"/>
      <c r="E143" s="139"/>
      <c r="F143" s="140" t="s">
        <v>494</v>
      </c>
      <c r="G143" s="136"/>
      <c r="H143" s="136">
        <f>816.5/1.2</f>
        <v>680.416666666667</v>
      </c>
      <c r="I143" s="136"/>
      <c r="J143" s="79">
        <f t="shared" si="32"/>
        <v>680.416666666667</v>
      </c>
      <c r="K143" s="79">
        <f t="shared" si="37"/>
        <v>68.0416666666667</v>
      </c>
      <c r="L143" s="101">
        <f t="shared" si="33"/>
        <v>748</v>
      </c>
      <c r="M143" s="67" t="s">
        <v>498</v>
      </c>
      <c r="N143" s="57">
        <f t="shared" si="34"/>
        <v>0</v>
      </c>
      <c r="O143" s="57">
        <f t="shared" si="35"/>
        <v>618.560606060606</v>
      </c>
      <c r="P143" s="57">
        <f t="shared" si="36"/>
        <v>0</v>
      </c>
      <c r="Q143" s="57">
        <f t="shared" si="38"/>
        <v>618.560606060606</v>
      </c>
      <c r="R143" s="102">
        <v>680</v>
      </c>
      <c r="S143" s="59"/>
    </row>
    <row r="144" ht="29" spans="1:19">
      <c r="A144" s="87" t="s">
        <v>499</v>
      </c>
      <c r="B144" s="63" t="s">
        <v>500</v>
      </c>
      <c r="C144" s="63" t="s">
        <v>501</v>
      </c>
      <c r="D144" s="139"/>
      <c r="E144" s="139"/>
      <c r="F144" s="140" t="s">
        <v>150</v>
      </c>
      <c r="G144" s="136"/>
      <c r="H144" s="136">
        <f>199.5/1.2</f>
        <v>166.25</v>
      </c>
      <c r="I144" s="136"/>
      <c r="J144" s="79">
        <f t="shared" si="32"/>
        <v>166.25</v>
      </c>
      <c r="K144" s="79">
        <f t="shared" si="37"/>
        <v>16.625</v>
      </c>
      <c r="L144" s="101">
        <f t="shared" si="33"/>
        <v>183</v>
      </c>
      <c r="M144" s="67" t="s">
        <v>486</v>
      </c>
      <c r="N144" s="57">
        <f t="shared" si="34"/>
        <v>0</v>
      </c>
      <c r="O144" s="57">
        <f t="shared" si="35"/>
        <v>151.714480874317</v>
      </c>
      <c r="P144" s="57">
        <f t="shared" si="36"/>
        <v>0</v>
      </c>
      <c r="Q144" s="57">
        <f t="shared" si="38"/>
        <v>151.714480874317</v>
      </c>
      <c r="R144" s="102">
        <v>167</v>
      </c>
      <c r="S144" s="59"/>
    </row>
    <row r="145" ht="29" spans="1:19">
      <c r="A145" s="87" t="s">
        <v>502</v>
      </c>
      <c r="B145" s="63" t="s">
        <v>503</v>
      </c>
      <c r="C145" s="63"/>
      <c r="D145" s="139"/>
      <c r="E145" s="139"/>
      <c r="F145" s="140" t="s">
        <v>150</v>
      </c>
      <c r="G145" s="136"/>
      <c r="H145" s="136">
        <f>100/1.2</f>
        <v>83.3333333333333</v>
      </c>
      <c r="I145" s="136"/>
      <c r="J145" s="79">
        <f t="shared" si="32"/>
        <v>83.3333333333333</v>
      </c>
      <c r="K145" s="79">
        <f t="shared" si="37"/>
        <v>8.33333333333333</v>
      </c>
      <c r="L145" s="101">
        <f t="shared" si="33"/>
        <v>92</v>
      </c>
      <c r="M145" s="67" t="s">
        <v>504</v>
      </c>
      <c r="N145" s="57">
        <f t="shared" si="34"/>
        <v>0</v>
      </c>
      <c r="O145" s="57">
        <f t="shared" si="35"/>
        <v>75.1811594202898</v>
      </c>
      <c r="P145" s="57">
        <f t="shared" si="36"/>
        <v>0</v>
      </c>
      <c r="Q145" s="57">
        <f t="shared" si="38"/>
        <v>75.1811594202898</v>
      </c>
      <c r="R145" s="102">
        <v>83</v>
      </c>
      <c r="S145" s="59"/>
    </row>
    <row r="146" ht="29" spans="1:19">
      <c r="A146" s="87" t="s">
        <v>505</v>
      </c>
      <c r="B146" s="63" t="s">
        <v>503</v>
      </c>
      <c r="C146" s="63" t="s">
        <v>506</v>
      </c>
      <c r="D146" s="139"/>
      <c r="E146" s="139"/>
      <c r="F146" s="140" t="s">
        <v>150</v>
      </c>
      <c r="G146" s="136"/>
      <c r="H146" s="136">
        <f>126.5/1.2</f>
        <v>105.416666666667</v>
      </c>
      <c r="I146" s="136"/>
      <c r="J146" s="79">
        <f t="shared" si="32"/>
        <v>105.416666666667</v>
      </c>
      <c r="K146" s="79">
        <f t="shared" si="37"/>
        <v>10.5416666666667</v>
      </c>
      <c r="L146" s="101">
        <f t="shared" si="33"/>
        <v>116</v>
      </c>
      <c r="M146" s="67" t="s">
        <v>507</v>
      </c>
      <c r="N146" s="57">
        <f t="shared" si="34"/>
        <v>0</v>
      </c>
      <c r="O146" s="57">
        <f t="shared" si="35"/>
        <v>95.4202586206899</v>
      </c>
      <c r="P146" s="57">
        <f t="shared" si="36"/>
        <v>0</v>
      </c>
      <c r="Q146" s="57">
        <f t="shared" si="38"/>
        <v>95.4202586206899</v>
      </c>
      <c r="R146" s="102">
        <v>105</v>
      </c>
      <c r="S146" s="59"/>
    </row>
    <row r="147" ht="29" spans="1:19">
      <c r="A147" s="87" t="s">
        <v>508</v>
      </c>
      <c r="B147" s="63" t="s">
        <v>503</v>
      </c>
      <c r="C147" s="63" t="s">
        <v>509</v>
      </c>
      <c r="D147" s="139"/>
      <c r="E147" s="139"/>
      <c r="F147" s="140" t="s">
        <v>150</v>
      </c>
      <c r="G147" s="136"/>
      <c r="H147" s="136">
        <f>74.75/1.2</f>
        <v>62.2916666666667</v>
      </c>
      <c r="I147" s="136"/>
      <c r="J147" s="79">
        <f t="shared" si="32"/>
        <v>62.2916666666667</v>
      </c>
      <c r="K147" s="79">
        <f t="shared" si="37"/>
        <v>6.22916666666667</v>
      </c>
      <c r="L147" s="101">
        <f t="shared" si="33"/>
        <v>69</v>
      </c>
      <c r="M147" s="67" t="s">
        <v>507</v>
      </c>
      <c r="N147" s="57">
        <f t="shared" si="34"/>
        <v>0</v>
      </c>
      <c r="O147" s="57">
        <f t="shared" si="35"/>
        <v>55.9722222222222</v>
      </c>
      <c r="P147" s="57">
        <f t="shared" si="36"/>
        <v>0</v>
      </c>
      <c r="Q147" s="57">
        <f t="shared" si="38"/>
        <v>55.9722222222222</v>
      </c>
      <c r="R147" s="102">
        <v>62</v>
      </c>
      <c r="S147" s="59"/>
    </row>
    <row r="148" ht="43.5" spans="1:19">
      <c r="A148" s="87" t="s">
        <v>510</v>
      </c>
      <c r="B148" s="63" t="s">
        <v>511</v>
      </c>
      <c r="C148" s="63"/>
      <c r="D148" s="139"/>
      <c r="E148" s="139"/>
      <c r="F148" s="140" t="s">
        <v>150</v>
      </c>
      <c r="G148" s="136"/>
      <c r="H148" s="136">
        <f>180/1.2</f>
        <v>150</v>
      </c>
      <c r="I148" s="136"/>
      <c r="J148" s="79">
        <f t="shared" si="32"/>
        <v>150</v>
      </c>
      <c r="K148" s="79">
        <f t="shared" si="37"/>
        <v>15</v>
      </c>
      <c r="L148" s="101">
        <f t="shared" si="33"/>
        <v>165</v>
      </c>
      <c r="M148" s="67" t="s">
        <v>504</v>
      </c>
      <c r="N148" s="57">
        <f t="shared" si="34"/>
        <v>0</v>
      </c>
      <c r="O148" s="57">
        <f t="shared" si="35"/>
        <v>136.363636363636</v>
      </c>
      <c r="P148" s="57">
        <f t="shared" si="36"/>
        <v>0</v>
      </c>
      <c r="Q148" s="57">
        <f t="shared" si="38"/>
        <v>136.363636363636</v>
      </c>
      <c r="R148" s="102">
        <v>150</v>
      </c>
      <c r="S148" s="59"/>
    </row>
    <row r="149" ht="43.5" spans="1:19">
      <c r="A149" s="87" t="s">
        <v>512</v>
      </c>
      <c r="B149" s="63" t="s">
        <v>511</v>
      </c>
      <c r="C149" s="63" t="s">
        <v>513</v>
      </c>
      <c r="D149" s="139"/>
      <c r="E149" s="139"/>
      <c r="F149" s="140" t="s">
        <v>150</v>
      </c>
      <c r="G149" s="136"/>
      <c r="H149" s="136">
        <f>171/1.2</f>
        <v>142.5</v>
      </c>
      <c r="I149" s="136"/>
      <c r="J149" s="79">
        <f t="shared" si="32"/>
        <v>142.5</v>
      </c>
      <c r="K149" s="79">
        <f t="shared" si="37"/>
        <v>14.25</v>
      </c>
      <c r="L149" s="101">
        <f t="shared" si="33"/>
        <v>157</v>
      </c>
      <c r="M149" s="67" t="s">
        <v>507</v>
      </c>
      <c r="N149" s="57">
        <f t="shared" si="34"/>
        <v>0</v>
      </c>
      <c r="O149" s="57">
        <f t="shared" si="35"/>
        <v>128.885350318471</v>
      </c>
      <c r="P149" s="57">
        <f t="shared" si="36"/>
        <v>0</v>
      </c>
      <c r="Q149" s="57">
        <f t="shared" si="38"/>
        <v>128.885350318471</v>
      </c>
      <c r="R149" s="102">
        <v>142</v>
      </c>
      <c r="S149" s="59"/>
    </row>
    <row r="150" ht="29" spans="1:19">
      <c r="A150" s="87" t="s">
        <v>514</v>
      </c>
      <c r="B150" s="63" t="s">
        <v>515</v>
      </c>
      <c r="C150" s="63" t="s">
        <v>516</v>
      </c>
      <c r="D150" s="139"/>
      <c r="E150" s="139"/>
      <c r="F150" s="140" t="s">
        <v>494</v>
      </c>
      <c r="G150" s="136"/>
      <c r="H150" s="143"/>
      <c r="I150" s="136"/>
      <c r="J150" s="136"/>
      <c r="K150" s="79">
        <f t="shared" si="37"/>
        <v>0</v>
      </c>
      <c r="L150" s="101" t="s">
        <v>517</v>
      </c>
      <c r="M150" s="67" t="s">
        <v>504</v>
      </c>
      <c r="N150" s="57"/>
      <c r="O150" s="57"/>
      <c r="P150" s="57"/>
      <c r="Q150" s="57">
        <f t="shared" si="38"/>
        <v>0</v>
      </c>
      <c r="R150" s="102">
        <v>150</v>
      </c>
      <c r="S150" s="59"/>
    </row>
    <row r="151" ht="29" spans="1:19">
      <c r="A151" s="87" t="s">
        <v>518</v>
      </c>
      <c r="B151" s="63" t="s">
        <v>519</v>
      </c>
      <c r="C151" s="63" t="s">
        <v>520</v>
      </c>
      <c r="D151" s="139"/>
      <c r="E151" s="139"/>
      <c r="F151" s="140" t="s">
        <v>494</v>
      </c>
      <c r="G151" s="136"/>
      <c r="H151" s="136">
        <f>816.5/1.2</f>
        <v>680.416666666667</v>
      </c>
      <c r="I151" s="136"/>
      <c r="J151" s="79">
        <f>G151+H151+I151</f>
        <v>680.416666666667</v>
      </c>
      <c r="K151" s="79">
        <f t="shared" si="37"/>
        <v>68.0416666666667</v>
      </c>
      <c r="L151" s="101">
        <f>ROUND((J151+K151),0)</f>
        <v>748</v>
      </c>
      <c r="M151" s="67" t="s">
        <v>498</v>
      </c>
      <c r="N151" s="57">
        <f>+R151/L151*G151</f>
        <v>0</v>
      </c>
      <c r="O151" s="57">
        <f>+R151/L151*H151</f>
        <v>618.560606060606</v>
      </c>
      <c r="P151" s="57">
        <f>+R151/L151*I151</f>
        <v>0</v>
      </c>
      <c r="Q151" s="57">
        <f t="shared" si="38"/>
        <v>618.560606060606</v>
      </c>
      <c r="R151" s="102">
        <v>680</v>
      </c>
      <c r="S151" s="59"/>
    </row>
    <row r="152" ht="14.5" spans="1:19">
      <c r="A152" s="87" t="s">
        <v>521</v>
      </c>
      <c r="B152" s="63" t="s">
        <v>522</v>
      </c>
      <c r="C152" s="63" t="s">
        <v>523</v>
      </c>
      <c r="D152" s="139"/>
      <c r="E152" s="139"/>
      <c r="F152" s="140" t="s">
        <v>494</v>
      </c>
      <c r="G152" s="136"/>
      <c r="H152" s="136">
        <f>235.75/1.2</f>
        <v>196.458333333333</v>
      </c>
      <c r="I152" s="136"/>
      <c r="J152" s="79">
        <f>G152+H152+I152</f>
        <v>196.458333333333</v>
      </c>
      <c r="K152" s="79">
        <f t="shared" si="37"/>
        <v>19.6458333333333</v>
      </c>
      <c r="L152" s="101">
        <f>ROUND((J152+K152),0)</f>
        <v>216</v>
      </c>
      <c r="M152" s="67" t="s">
        <v>524</v>
      </c>
      <c r="N152" s="57">
        <f>+R152/L152*G152</f>
        <v>0</v>
      </c>
      <c r="O152" s="57">
        <f>+R152/L152*H152</f>
        <v>178.26774691358</v>
      </c>
      <c r="P152" s="57">
        <f>+R152/L152*I152</f>
        <v>0</v>
      </c>
      <c r="Q152" s="57">
        <f t="shared" si="38"/>
        <v>178.26774691358</v>
      </c>
      <c r="R152" s="102">
        <v>196</v>
      </c>
      <c r="S152" s="59"/>
    </row>
    <row r="153" ht="29" spans="1:19">
      <c r="A153" s="87" t="s">
        <v>525</v>
      </c>
      <c r="B153" s="63" t="s">
        <v>526</v>
      </c>
      <c r="C153" s="63"/>
      <c r="D153" s="139"/>
      <c r="E153" s="139"/>
      <c r="F153" s="140" t="s">
        <v>527</v>
      </c>
      <c r="G153" s="136"/>
      <c r="H153" s="136">
        <f>150/1.2</f>
        <v>125</v>
      </c>
      <c r="I153" s="136"/>
      <c r="J153" s="79">
        <f>G153+H153+I153</f>
        <v>125</v>
      </c>
      <c r="K153" s="79">
        <f t="shared" si="37"/>
        <v>12.5</v>
      </c>
      <c r="L153" s="101">
        <f>ROUND((J153+K153),0)</f>
        <v>138</v>
      </c>
      <c r="M153" s="67" t="s">
        <v>504</v>
      </c>
      <c r="N153" s="57">
        <f>+R153/L153*G153</f>
        <v>0</v>
      </c>
      <c r="O153" s="57">
        <f>+R153/L153*H153</f>
        <v>113.224637681159</v>
      </c>
      <c r="P153" s="57">
        <f>+R153/L153*I153</f>
        <v>0</v>
      </c>
      <c r="Q153" s="57">
        <f t="shared" si="38"/>
        <v>113.224637681159</v>
      </c>
      <c r="R153" s="102">
        <v>125</v>
      </c>
      <c r="S153" s="59"/>
    </row>
    <row r="154" ht="29" spans="1:19">
      <c r="A154" s="87" t="s">
        <v>528</v>
      </c>
      <c r="B154" s="63" t="s">
        <v>529</v>
      </c>
      <c r="C154" s="63" t="s">
        <v>530</v>
      </c>
      <c r="D154" s="139"/>
      <c r="E154" s="139"/>
      <c r="F154" s="140" t="s">
        <v>531</v>
      </c>
      <c r="G154" s="136"/>
      <c r="H154" s="136">
        <f>77.5575/1.2</f>
        <v>64.63125</v>
      </c>
      <c r="I154" s="136"/>
      <c r="J154" s="79">
        <f>G154+H154+I154</f>
        <v>64.63125</v>
      </c>
      <c r="K154" s="79">
        <f t="shared" si="37"/>
        <v>6.463125</v>
      </c>
      <c r="L154" s="101">
        <f>ROUND((J154+K154),0)</f>
        <v>71</v>
      </c>
      <c r="M154" s="67" t="s">
        <v>532</v>
      </c>
      <c r="N154" s="57">
        <f>+R154/L154*G154</f>
        <v>0</v>
      </c>
      <c r="O154" s="57">
        <f>+R154/L154*H154</f>
        <v>59.1694542253521</v>
      </c>
      <c r="P154" s="57">
        <f>+R154/L154*I154</f>
        <v>0</v>
      </c>
      <c r="Q154" s="57">
        <f t="shared" si="38"/>
        <v>59.1694542253521</v>
      </c>
      <c r="R154" s="102">
        <v>65</v>
      </c>
      <c r="S154" s="59"/>
    </row>
    <row r="155" customHeight="1" spans="1:19">
      <c r="A155" s="106" t="s">
        <v>398</v>
      </c>
      <c r="B155" s="128" t="s">
        <v>533</v>
      </c>
      <c r="C155" s="104"/>
      <c r="D155" s="104"/>
      <c r="E155" s="104"/>
      <c r="F155" s="140"/>
      <c r="G155" s="136"/>
      <c r="H155" s="136"/>
      <c r="I155" s="136"/>
      <c r="J155" s="136"/>
      <c r="K155" s="79">
        <f t="shared" si="37"/>
        <v>0</v>
      </c>
      <c r="L155" s="101"/>
      <c r="M155" s="138"/>
      <c r="N155" s="57"/>
      <c r="O155" s="57"/>
      <c r="P155" s="57"/>
      <c r="Q155" s="57">
        <f t="shared" si="38"/>
        <v>0</v>
      </c>
      <c r="R155" s="58"/>
      <c r="S155" s="59"/>
    </row>
    <row r="156" ht="43.5" spans="1:19">
      <c r="A156" s="87" t="s">
        <v>534</v>
      </c>
      <c r="B156" s="63" t="s">
        <v>535</v>
      </c>
      <c r="C156" s="69"/>
      <c r="D156" s="139"/>
      <c r="E156" s="139"/>
      <c r="F156" s="140" t="s">
        <v>536</v>
      </c>
      <c r="G156" s="136"/>
      <c r="H156" s="136">
        <f>60/1.2</f>
        <v>50</v>
      </c>
      <c r="I156" s="136"/>
      <c r="J156" s="79">
        <f t="shared" ref="J156:J166" si="39">G156+H156+I156</f>
        <v>50</v>
      </c>
      <c r="K156" s="79">
        <f t="shared" si="37"/>
        <v>5</v>
      </c>
      <c r="L156" s="101">
        <f t="shared" ref="L156:L166" si="40">ROUND((J156+K156),0)</f>
        <v>55</v>
      </c>
      <c r="M156" s="144" t="s">
        <v>537</v>
      </c>
      <c r="N156" s="57">
        <f t="shared" ref="N156:N166" si="41">+R156/L156*G156</f>
        <v>0</v>
      </c>
      <c r="O156" s="57">
        <f t="shared" ref="O156:O166" si="42">+R156/L156*H156</f>
        <v>45.4545454545455</v>
      </c>
      <c r="P156" s="57">
        <f t="shared" ref="P156:P166" si="43">+R156/L156*I156</f>
        <v>0</v>
      </c>
      <c r="Q156" s="57">
        <f t="shared" si="38"/>
        <v>45.4545454545455</v>
      </c>
      <c r="R156" s="102">
        <v>50</v>
      </c>
      <c r="S156" s="59"/>
    </row>
    <row r="157" ht="29" spans="1:19">
      <c r="A157" s="87" t="s">
        <v>538</v>
      </c>
      <c r="B157" s="63" t="s">
        <v>539</v>
      </c>
      <c r="C157" s="63" t="s">
        <v>540</v>
      </c>
      <c r="D157" s="139"/>
      <c r="E157" s="139"/>
      <c r="F157" s="140" t="s">
        <v>195</v>
      </c>
      <c r="G157" s="136"/>
      <c r="H157" s="136">
        <f>15/1.2</f>
        <v>12.5</v>
      </c>
      <c r="I157" s="136"/>
      <c r="J157" s="79">
        <f t="shared" si="39"/>
        <v>12.5</v>
      </c>
      <c r="K157" s="79">
        <f t="shared" si="37"/>
        <v>1.25</v>
      </c>
      <c r="L157" s="101">
        <f t="shared" si="40"/>
        <v>14</v>
      </c>
      <c r="M157" s="144" t="s">
        <v>541</v>
      </c>
      <c r="N157" s="57">
        <f t="shared" si="41"/>
        <v>0</v>
      </c>
      <c r="O157" s="57">
        <f t="shared" si="42"/>
        <v>11.6071428571429</v>
      </c>
      <c r="P157" s="57">
        <f t="shared" si="43"/>
        <v>0</v>
      </c>
      <c r="Q157" s="57">
        <f t="shared" si="38"/>
        <v>11.6071428571429</v>
      </c>
      <c r="R157" s="102">
        <v>13</v>
      </c>
      <c r="S157" s="59"/>
    </row>
    <row r="158" ht="43.5" spans="1:19">
      <c r="A158" s="87" t="s">
        <v>542</v>
      </c>
      <c r="B158" s="63" t="s">
        <v>543</v>
      </c>
      <c r="C158" s="71"/>
      <c r="D158" s="139"/>
      <c r="E158" s="139"/>
      <c r="F158" s="140" t="s">
        <v>47</v>
      </c>
      <c r="G158" s="136"/>
      <c r="H158" s="136">
        <f>120/1.2</f>
        <v>100</v>
      </c>
      <c r="I158" s="136"/>
      <c r="J158" s="79">
        <f t="shared" si="39"/>
        <v>100</v>
      </c>
      <c r="K158" s="79">
        <f t="shared" si="37"/>
        <v>10</v>
      </c>
      <c r="L158" s="101">
        <f t="shared" si="40"/>
        <v>110</v>
      </c>
      <c r="M158" s="144" t="s">
        <v>544</v>
      </c>
      <c r="N158" s="57">
        <f t="shared" si="41"/>
        <v>0</v>
      </c>
      <c r="O158" s="57">
        <f t="shared" si="42"/>
        <v>90.9090909090909</v>
      </c>
      <c r="P158" s="57">
        <f t="shared" si="43"/>
        <v>0</v>
      </c>
      <c r="Q158" s="57">
        <f t="shared" si="38"/>
        <v>90.9090909090909</v>
      </c>
      <c r="R158" s="102">
        <v>100</v>
      </c>
      <c r="S158" s="59"/>
    </row>
    <row r="159" ht="29" spans="1:19">
      <c r="A159" s="87" t="s">
        <v>545</v>
      </c>
      <c r="B159" s="63" t="s">
        <v>546</v>
      </c>
      <c r="C159" s="69"/>
      <c r="D159" s="139"/>
      <c r="E159" s="139"/>
      <c r="F159" s="140" t="s">
        <v>531</v>
      </c>
      <c r="G159" s="136"/>
      <c r="H159" s="136">
        <f>15/1.2</f>
        <v>12.5</v>
      </c>
      <c r="I159" s="136"/>
      <c r="J159" s="79">
        <f t="shared" si="39"/>
        <v>12.5</v>
      </c>
      <c r="K159" s="79">
        <f t="shared" si="37"/>
        <v>1.25</v>
      </c>
      <c r="L159" s="101">
        <f t="shared" si="40"/>
        <v>14</v>
      </c>
      <c r="M159" s="144"/>
      <c r="N159" s="57">
        <f t="shared" si="41"/>
        <v>0</v>
      </c>
      <c r="O159" s="57">
        <f t="shared" si="42"/>
        <v>11.6071428571429</v>
      </c>
      <c r="P159" s="57">
        <f t="shared" si="43"/>
        <v>0</v>
      </c>
      <c r="Q159" s="57">
        <f t="shared" si="38"/>
        <v>11.6071428571429</v>
      </c>
      <c r="R159" s="102">
        <v>13</v>
      </c>
      <c r="S159" s="59"/>
    </row>
    <row r="160" ht="58" spans="1:19">
      <c r="A160" s="87" t="s">
        <v>547</v>
      </c>
      <c r="B160" s="71" t="s">
        <v>548</v>
      </c>
      <c r="C160" s="71" t="s">
        <v>549</v>
      </c>
      <c r="D160" s="139"/>
      <c r="E160" s="139"/>
      <c r="F160" s="69" t="s">
        <v>24</v>
      </c>
      <c r="G160" s="136"/>
      <c r="H160" s="136">
        <f>410/1.2</f>
        <v>341.666666666667</v>
      </c>
      <c r="I160" s="136"/>
      <c r="J160" s="79">
        <f t="shared" si="39"/>
        <v>341.666666666667</v>
      </c>
      <c r="K160" s="79">
        <f t="shared" si="37"/>
        <v>34.1666666666667</v>
      </c>
      <c r="L160" s="101">
        <f t="shared" si="40"/>
        <v>376</v>
      </c>
      <c r="M160" s="144" t="s">
        <v>550</v>
      </c>
      <c r="N160" s="57">
        <f t="shared" si="41"/>
        <v>0</v>
      </c>
      <c r="O160" s="57">
        <f t="shared" si="42"/>
        <v>310.771276595745</v>
      </c>
      <c r="P160" s="57">
        <f t="shared" si="43"/>
        <v>0</v>
      </c>
      <c r="Q160" s="57">
        <f t="shared" si="38"/>
        <v>310.771276595745</v>
      </c>
      <c r="R160" s="102">
        <v>342</v>
      </c>
      <c r="S160" s="59"/>
    </row>
    <row r="161" ht="58" spans="1:19">
      <c r="A161" s="87" t="s">
        <v>551</v>
      </c>
      <c r="B161" s="71" t="s">
        <v>552</v>
      </c>
      <c r="C161" s="71" t="s">
        <v>549</v>
      </c>
      <c r="D161" s="139"/>
      <c r="E161" s="139"/>
      <c r="F161" s="69" t="s">
        <v>24</v>
      </c>
      <c r="G161" s="136"/>
      <c r="H161" s="136">
        <f>410/1.2</f>
        <v>341.666666666667</v>
      </c>
      <c r="I161" s="136"/>
      <c r="J161" s="79">
        <f t="shared" si="39"/>
        <v>341.666666666667</v>
      </c>
      <c r="K161" s="79">
        <f t="shared" si="37"/>
        <v>34.1666666666667</v>
      </c>
      <c r="L161" s="101">
        <f t="shared" si="40"/>
        <v>376</v>
      </c>
      <c r="M161" s="144" t="s">
        <v>550</v>
      </c>
      <c r="N161" s="57">
        <f t="shared" si="41"/>
        <v>0</v>
      </c>
      <c r="O161" s="57">
        <f t="shared" si="42"/>
        <v>310.771276595745</v>
      </c>
      <c r="P161" s="57">
        <f t="shared" si="43"/>
        <v>0</v>
      </c>
      <c r="Q161" s="57">
        <f t="shared" si="38"/>
        <v>310.771276595745</v>
      </c>
      <c r="R161" s="102">
        <v>342</v>
      </c>
      <c r="S161" s="59"/>
    </row>
    <row r="162" ht="58" spans="1:19">
      <c r="A162" s="87" t="s">
        <v>553</v>
      </c>
      <c r="B162" s="71" t="s">
        <v>554</v>
      </c>
      <c r="C162" s="71" t="s">
        <v>549</v>
      </c>
      <c r="D162" s="139"/>
      <c r="E162" s="139"/>
      <c r="F162" s="69" t="s">
        <v>24</v>
      </c>
      <c r="G162" s="136"/>
      <c r="H162" s="136">
        <f>390/1.2</f>
        <v>325</v>
      </c>
      <c r="I162" s="136"/>
      <c r="J162" s="79">
        <f t="shared" si="39"/>
        <v>325</v>
      </c>
      <c r="K162" s="79">
        <f t="shared" si="37"/>
        <v>32.5</v>
      </c>
      <c r="L162" s="101">
        <f t="shared" si="40"/>
        <v>358</v>
      </c>
      <c r="M162" s="144" t="s">
        <v>550</v>
      </c>
      <c r="N162" s="57">
        <f t="shared" si="41"/>
        <v>0</v>
      </c>
      <c r="O162" s="57">
        <f t="shared" si="42"/>
        <v>295.041899441341</v>
      </c>
      <c r="P162" s="57">
        <f t="shared" si="43"/>
        <v>0</v>
      </c>
      <c r="Q162" s="57">
        <f t="shared" si="38"/>
        <v>295.041899441341</v>
      </c>
      <c r="R162" s="102">
        <v>325</v>
      </c>
      <c r="S162" s="59"/>
    </row>
    <row r="163" ht="43.5" spans="1:19">
      <c r="A163" s="87" t="s">
        <v>555</v>
      </c>
      <c r="B163" s="71" t="s">
        <v>556</v>
      </c>
      <c r="C163" s="71" t="s">
        <v>557</v>
      </c>
      <c r="D163" s="139"/>
      <c r="E163" s="139"/>
      <c r="F163" s="69" t="s">
        <v>24</v>
      </c>
      <c r="G163" s="136"/>
      <c r="H163" s="136">
        <f>340/1.2</f>
        <v>283.333333333333</v>
      </c>
      <c r="I163" s="136"/>
      <c r="J163" s="79">
        <f t="shared" si="39"/>
        <v>283.333333333333</v>
      </c>
      <c r="K163" s="79">
        <f t="shared" si="37"/>
        <v>28.3333333333333</v>
      </c>
      <c r="L163" s="101">
        <f t="shared" si="40"/>
        <v>312</v>
      </c>
      <c r="M163" s="144" t="s">
        <v>550</v>
      </c>
      <c r="N163" s="57">
        <f t="shared" si="41"/>
        <v>0</v>
      </c>
      <c r="O163" s="57">
        <f t="shared" si="42"/>
        <v>256.997863247863</v>
      </c>
      <c r="P163" s="57">
        <f t="shared" si="43"/>
        <v>0</v>
      </c>
      <c r="Q163" s="57">
        <f t="shared" si="38"/>
        <v>256.997863247863</v>
      </c>
      <c r="R163" s="102">
        <v>283</v>
      </c>
      <c r="S163" s="59"/>
    </row>
    <row r="164" ht="43.5" spans="1:19">
      <c r="A164" s="87" t="s">
        <v>558</v>
      </c>
      <c r="B164" s="71" t="s">
        <v>559</v>
      </c>
      <c r="C164" s="71" t="s">
        <v>560</v>
      </c>
      <c r="D164" s="139"/>
      <c r="E164" s="139"/>
      <c r="F164" s="69" t="s">
        <v>24</v>
      </c>
      <c r="G164" s="136"/>
      <c r="H164" s="136">
        <f>380/1.2</f>
        <v>316.666666666667</v>
      </c>
      <c r="I164" s="136"/>
      <c r="J164" s="79">
        <f t="shared" si="39"/>
        <v>316.666666666667</v>
      </c>
      <c r="K164" s="79">
        <f t="shared" si="37"/>
        <v>31.6666666666667</v>
      </c>
      <c r="L164" s="101">
        <f t="shared" si="40"/>
        <v>348</v>
      </c>
      <c r="M164" s="144" t="s">
        <v>561</v>
      </c>
      <c r="N164" s="57">
        <f t="shared" si="41"/>
        <v>0</v>
      </c>
      <c r="O164" s="57">
        <f t="shared" si="42"/>
        <v>288.457854406131</v>
      </c>
      <c r="P164" s="57">
        <f t="shared" si="43"/>
        <v>0</v>
      </c>
      <c r="Q164" s="57">
        <f t="shared" si="38"/>
        <v>288.457854406131</v>
      </c>
      <c r="R164" s="102">
        <v>317</v>
      </c>
      <c r="S164" s="59"/>
    </row>
    <row r="165" ht="43.5" spans="1:19">
      <c r="A165" s="87" t="s">
        <v>562</v>
      </c>
      <c r="B165" s="71" t="s">
        <v>563</v>
      </c>
      <c r="C165" s="71" t="s">
        <v>564</v>
      </c>
      <c r="D165" s="139"/>
      <c r="E165" s="139"/>
      <c r="F165" s="69" t="s">
        <v>24</v>
      </c>
      <c r="G165" s="136"/>
      <c r="H165" s="136">
        <f>350/1.2</f>
        <v>291.666666666667</v>
      </c>
      <c r="I165" s="136"/>
      <c r="J165" s="79">
        <f t="shared" si="39"/>
        <v>291.666666666667</v>
      </c>
      <c r="K165" s="79">
        <f t="shared" si="37"/>
        <v>29.1666666666667</v>
      </c>
      <c r="L165" s="101">
        <f t="shared" si="40"/>
        <v>321</v>
      </c>
      <c r="M165" s="144" t="s">
        <v>550</v>
      </c>
      <c r="N165" s="57">
        <f t="shared" si="41"/>
        <v>0</v>
      </c>
      <c r="O165" s="57">
        <f t="shared" si="42"/>
        <v>265.316718587747</v>
      </c>
      <c r="P165" s="57">
        <f t="shared" si="43"/>
        <v>0</v>
      </c>
      <c r="Q165" s="57">
        <f t="shared" si="38"/>
        <v>265.316718587747</v>
      </c>
      <c r="R165" s="102">
        <v>292</v>
      </c>
      <c r="S165" s="59"/>
    </row>
    <row r="166" ht="42" spans="1:19">
      <c r="A166" s="87" t="s">
        <v>565</v>
      </c>
      <c r="B166" s="71" t="s">
        <v>566</v>
      </c>
      <c r="C166" s="71" t="s">
        <v>567</v>
      </c>
      <c r="D166" s="139"/>
      <c r="E166" s="139"/>
      <c r="F166" s="69" t="s">
        <v>24</v>
      </c>
      <c r="G166" s="136"/>
      <c r="H166" s="136">
        <f>420/1.2</f>
        <v>350</v>
      </c>
      <c r="I166" s="136"/>
      <c r="J166" s="79">
        <f t="shared" si="39"/>
        <v>350</v>
      </c>
      <c r="K166" s="79">
        <f t="shared" ref="K166:K201" si="44">J166*0.1</f>
        <v>35</v>
      </c>
      <c r="L166" s="101">
        <f t="shared" si="40"/>
        <v>385</v>
      </c>
      <c r="M166" s="144" t="s">
        <v>568</v>
      </c>
      <c r="N166" s="57">
        <f t="shared" si="41"/>
        <v>0</v>
      </c>
      <c r="O166" s="57">
        <f t="shared" si="42"/>
        <v>318.181818181818</v>
      </c>
      <c r="P166" s="57">
        <f t="shared" si="43"/>
        <v>0</v>
      </c>
      <c r="Q166" s="57">
        <f t="shared" si="38"/>
        <v>318.181818181818</v>
      </c>
      <c r="R166" s="102">
        <v>350</v>
      </c>
      <c r="S166" s="59"/>
    </row>
    <row r="167" s="14" customFormat="1" ht="22.5" customHeight="1" spans="1:19">
      <c r="A167" s="80" t="s">
        <v>569</v>
      </c>
      <c r="B167" s="81"/>
      <c r="C167" s="82"/>
      <c r="D167" s="83"/>
      <c r="E167" s="83"/>
      <c r="F167" s="83"/>
      <c r="G167" s="145"/>
      <c r="H167" s="145"/>
      <c r="I167" s="145"/>
      <c r="J167" s="145"/>
      <c r="K167" s="79">
        <f t="shared" si="44"/>
        <v>0</v>
      </c>
      <c r="L167" s="145"/>
      <c r="M167" s="146"/>
      <c r="N167" s="57"/>
      <c r="O167" s="57"/>
      <c r="P167" s="57"/>
      <c r="Q167" s="57">
        <f t="shared" si="38"/>
        <v>0</v>
      </c>
      <c r="R167" s="135"/>
      <c r="S167" s="86"/>
    </row>
    <row r="168" ht="65" spans="1:19">
      <c r="A168" s="87" t="s">
        <v>570</v>
      </c>
      <c r="B168" s="70" t="s">
        <v>571</v>
      </c>
      <c r="C168" s="52" t="s">
        <v>572</v>
      </c>
      <c r="D168" s="51" t="s">
        <v>573</v>
      </c>
      <c r="E168" s="52" t="s">
        <v>574</v>
      </c>
      <c r="F168" s="69" t="s">
        <v>24</v>
      </c>
      <c r="G168" s="55">
        <v>21.78</v>
      </c>
      <c r="H168" s="79"/>
      <c r="I168" s="79">
        <v>3</v>
      </c>
      <c r="J168" s="79">
        <f t="shared" ref="J168:J183" si="45">G168+H168+I168</f>
        <v>24.78</v>
      </c>
      <c r="K168" s="79">
        <f t="shared" si="44"/>
        <v>2.478</v>
      </c>
      <c r="L168" s="101">
        <f t="shared" ref="L168:L183" si="46">ROUND((J168+K168),0)</f>
        <v>27</v>
      </c>
      <c r="M168" s="89" t="s">
        <v>575</v>
      </c>
      <c r="N168" s="57">
        <f t="shared" ref="N168:N183" si="47">+R168/L168*G168</f>
        <v>20.1666666666667</v>
      </c>
      <c r="O168" s="57">
        <f t="shared" ref="O168:O183" si="48">+R168/L168*H168</f>
        <v>0</v>
      </c>
      <c r="P168" s="57">
        <f t="shared" ref="P168:P183" si="49">+R168/L168*I168</f>
        <v>2.77777777777778</v>
      </c>
      <c r="Q168" s="57">
        <f t="shared" si="38"/>
        <v>22.9444444444444</v>
      </c>
      <c r="R168" s="58">
        <v>25</v>
      </c>
      <c r="S168" s="59"/>
    </row>
    <row r="169" ht="65" spans="1:19">
      <c r="A169" s="87" t="s">
        <v>576</v>
      </c>
      <c r="B169" s="70" t="s">
        <v>571</v>
      </c>
      <c r="C169" s="52" t="s">
        <v>572</v>
      </c>
      <c r="D169" s="51" t="s">
        <v>573</v>
      </c>
      <c r="E169" s="52" t="s">
        <v>574</v>
      </c>
      <c r="F169" s="69" t="s">
        <v>24</v>
      </c>
      <c r="G169" s="55">
        <v>19.0575</v>
      </c>
      <c r="H169" s="79"/>
      <c r="I169" s="79">
        <v>3</v>
      </c>
      <c r="J169" s="79">
        <f t="shared" si="45"/>
        <v>22.0575</v>
      </c>
      <c r="K169" s="79">
        <f t="shared" si="44"/>
        <v>2.20575</v>
      </c>
      <c r="L169" s="101">
        <f t="shared" si="46"/>
        <v>24</v>
      </c>
      <c r="M169" s="89" t="s">
        <v>577</v>
      </c>
      <c r="N169" s="57">
        <f t="shared" si="47"/>
        <v>15.48421875</v>
      </c>
      <c r="O169" s="57">
        <f t="shared" si="48"/>
        <v>0</v>
      </c>
      <c r="P169" s="57">
        <f t="shared" si="49"/>
        <v>2.4375</v>
      </c>
      <c r="Q169" s="57">
        <f t="shared" si="38"/>
        <v>17.92171875</v>
      </c>
      <c r="R169" s="58">
        <v>19.5</v>
      </c>
      <c r="S169" s="59"/>
    </row>
    <row r="170" ht="104" spans="1:19">
      <c r="A170" s="87" t="s">
        <v>578</v>
      </c>
      <c r="B170" s="70" t="s">
        <v>579</v>
      </c>
      <c r="C170" s="52" t="s">
        <v>580</v>
      </c>
      <c r="D170" s="51" t="s">
        <v>573</v>
      </c>
      <c r="E170" s="52" t="s">
        <v>581</v>
      </c>
      <c r="F170" s="69" t="s">
        <v>24</v>
      </c>
      <c r="G170" s="55">
        <v>28.314</v>
      </c>
      <c r="H170" s="79"/>
      <c r="I170" s="79">
        <v>3</v>
      </c>
      <c r="J170" s="79">
        <f t="shared" si="45"/>
        <v>31.314</v>
      </c>
      <c r="K170" s="79">
        <f t="shared" si="44"/>
        <v>3.1314</v>
      </c>
      <c r="L170" s="101">
        <f t="shared" si="46"/>
        <v>34</v>
      </c>
      <c r="M170" s="89"/>
      <c r="N170" s="57">
        <f t="shared" si="47"/>
        <v>22.4846470588235</v>
      </c>
      <c r="O170" s="57">
        <f t="shared" si="48"/>
        <v>0</v>
      </c>
      <c r="P170" s="57">
        <f t="shared" si="49"/>
        <v>2.38235294117647</v>
      </c>
      <c r="Q170" s="57">
        <f t="shared" si="38"/>
        <v>24.867</v>
      </c>
      <c r="R170" s="58">
        <v>27</v>
      </c>
      <c r="S170" s="59"/>
    </row>
    <row r="171" ht="91" spans="1:19">
      <c r="A171" s="87" t="s">
        <v>582</v>
      </c>
      <c r="B171" s="70" t="s">
        <v>579</v>
      </c>
      <c r="C171" s="52" t="s">
        <v>583</v>
      </c>
      <c r="D171" s="51"/>
      <c r="E171" s="52" t="s">
        <v>581</v>
      </c>
      <c r="F171" s="69" t="s">
        <v>24</v>
      </c>
      <c r="G171" s="55">
        <v>31.944</v>
      </c>
      <c r="H171" s="79"/>
      <c r="I171" s="79">
        <v>3</v>
      </c>
      <c r="J171" s="79">
        <f t="shared" si="45"/>
        <v>34.944</v>
      </c>
      <c r="K171" s="79">
        <f t="shared" si="44"/>
        <v>3.4944</v>
      </c>
      <c r="L171" s="101">
        <f t="shared" si="46"/>
        <v>38</v>
      </c>
      <c r="M171" s="89"/>
      <c r="N171" s="57">
        <f t="shared" si="47"/>
        <v>24.3783157894737</v>
      </c>
      <c r="O171" s="57">
        <f t="shared" si="48"/>
        <v>0</v>
      </c>
      <c r="P171" s="57">
        <f t="shared" si="49"/>
        <v>2.28947368421053</v>
      </c>
      <c r="Q171" s="57">
        <f t="shared" si="38"/>
        <v>26.6677894736842</v>
      </c>
      <c r="R171" s="58">
        <v>29</v>
      </c>
      <c r="S171" s="59"/>
    </row>
    <row r="172" ht="78" spans="1:19">
      <c r="A172" s="87" t="s">
        <v>584</v>
      </c>
      <c r="B172" s="70" t="s">
        <v>585</v>
      </c>
      <c r="C172" s="52" t="s">
        <v>586</v>
      </c>
      <c r="D172" s="51" t="s">
        <v>573</v>
      </c>
      <c r="E172" s="52" t="s">
        <v>587</v>
      </c>
      <c r="F172" s="69" t="s">
        <v>24</v>
      </c>
      <c r="G172" s="55">
        <v>7.26</v>
      </c>
      <c r="H172" s="79">
        <v>1.6389</v>
      </c>
      <c r="I172" s="79">
        <v>0.8</v>
      </c>
      <c r="J172" s="79">
        <f t="shared" si="45"/>
        <v>9.6989</v>
      </c>
      <c r="K172" s="79">
        <f t="shared" si="44"/>
        <v>0.96989</v>
      </c>
      <c r="L172" s="101">
        <f t="shared" si="46"/>
        <v>11</v>
      </c>
      <c r="M172" s="147"/>
      <c r="N172" s="57">
        <f t="shared" si="47"/>
        <v>5.28</v>
      </c>
      <c r="O172" s="57">
        <f t="shared" si="48"/>
        <v>1.19192727272727</v>
      </c>
      <c r="P172" s="57">
        <f t="shared" si="49"/>
        <v>0.581818181818182</v>
      </c>
      <c r="Q172" s="57">
        <f t="shared" si="38"/>
        <v>7.05374545454545</v>
      </c>
      <c r="R172" s="58">
        <v>8</v>
      </c>
      <c r="S172" s="59"/>
    </row>
    <row r="173" ht="58" spans="1:19">
      <c r="A173" s="87" t="s">
        <v>588</v>
      </c>
      <c r="B173" s="70" t="s">
        <v>589</v>
      </c>
      <c r="C173" s="52" t="s">
        <v>590</v>
      </c>
      <c r="D173" s="50" t="s">
        <v>573</v>
      </c>
      <c r="E173" s="70" t="s">
        <v>591</v>
      </c>
      <c r="F173" s="69" t="s">
        <v>24</v>
      </c>
      <c r="G173" s="55">
        <v>23.232</v>
      </c>
      <c r="H173" s="79"/>
      <c r="I173" s="79">
        <v>2.2</v>
      </c>
      <c r="J173" s="79">
        <f t="shared" si="45"/>
        <v>25.432</v>
      </c>
      <c r="K173" s="79">
        <f t="shared" si="44"/>
        <v>2.5432</v>
      </c>
      <c r="L173" s="101">
        <f t="shared" si="46"/>
        <v>28</v>
      </c>
      <c r="M173" s="99" t="s">
        <v>592</v>
      </c>
      <c r="N173" s="57">
        <f t="shared" si="47"/>
        <v>19.9131428571429</v>
      </c>
      <c r="O173" s="57">
        <f t="shared" si="48"/>
        <v>0</v>
      </c>
      <c r="P173" s="57">
        <f t="shared" si="49"/>
        <v>1.88571428571429</v>
      </c>
      <c r="Q173" s="57">
        <f t="shared" si="38"/>
        <v>21.7988571428571</v>
      </c>
      <c r="R173" s="58">
        <v>24</v>
      </c>
      <c r="S173" s="59" t="s">
        <v>592</v>
      </c>
    </row>
    <row r="174" ht="58" spans="1:19">
      <c r="A174" s="87" t="s">
        <v>593</v>
      </c>
      <c r="B174" s="70" t="s">
        <v>594</v>
      </c>
      <c r="C174" s="52" t="s">
        <v>595</v>
      </c>
      <c r="D174" s="50" t="s">
        <v>573</v>
      </c>
      <c r="E174" s="70" t="s">
        <v>591</v>
      </c>
      <c r="F174" s="69" t="s">
        <v>24</v>
      </c>
      <c r="G174" s="55">
        <v>26.136</v>
      </c>
      <c r="H174" s="79"/>
      <c r="I174" s="79">
        <v>2.2</v>
      </c>
      <c r="J174" s="79">
        <f t="shared" si="45"/>
        <v>28.336</v>
      </c>
      <c r="K174" s="79">
        <f t="shared" si="44"/>
        <v>2.8336</v>
      </c>
      <c r="L174" s="101">
        <f t="shared" si="46"/>
        <v>31</v>
      </c>
      <c r="M174" s="99" t="s">
        <v>592</v>
      </c>
      <c r="N174" s="57">
        <f t="shared" si="47"/>
        <v>22.7636129032258</v>
      </c>
      <c r="O174" s="57">
        <f t="shared" si="48"/>
        <v>0</v>
      </c>
      <c r="P174" s="57">
        <f t="shared" si="49"/>
        <v>1.91612903225806</v>
      </c>
      <c r="Q174" s="57">
        <f t="shared" si="38"/>
        <v>24.6797419354839</v>
      </c>
      <c r="R174" s="58">
        <v>27</v>
      </c>
      <c r="S174" s="59" t="s">
        <v>592</v>
      </c>
    </row>
    <row r="175" ht="29" spans="1:19">
      <c r="A175" s="87" t="s">
        <v>596</v>
      </c>
      <c r="B175" s="70" t="s">
        <v>597</v>
      </c>
      <c r="C175" s="52" t="s">
        <v>598</v>
      </c>
      <c r="D175" s="51" t="s">
        <v>573</v>
      </c>
      <c r="E175" s="52" t="s">
        <v>599</v>
      </c>
      <c r="F175" s="69" t="s">
        <v>24</v>
      </c>
      <c r="G175" s="55">
        <v>9</v>
      </c>
      <c r="H175" s="79">
        <v>3</v>
      </c>
      <c r="I175" s="79">
        <v>1</v>
      </c>
      <c r="J175" s="79">
        <f t="shared" si="45"/>
        <v>13</v>
      </c>
      <c r="K175" s="79">
        <f t="shared" si="44"/>
        <v>1.3</v>
      </c>
      <c r="L175" s="101">
        <f t="shared" si="46"/>
        <v>14</v>
      </c>
      <c r="M175" s="89" t="s">
        <v>600</v>
      </c>
      <c r="N175" s="57">
        <f t="shared" si="47"/>
        <v>5.78571428571429</v>
      </c>
      <c r="O175" s="57">
        <f t="shared" si="48"/>
        <v>1.92857142857143</v>
      </c>
      <c r="P175" s="57">
        <f t="shared" si="49"/>
        <v>0.642857142857143</v>
      </c>
      <c r="Q175" s="57">
        <f t="shared" si="38"/>
        <v>8.35714285714286</v>
      </c>
      <c r="R175" s="58">
        <v>9</v>
      </c>
      <c r="S175" s="59"/>
    </row>
    <row r="176" ht="39" spans="1:19">
      <c r="A176" s="87" t="s">
        <v>601</v>
      </c>
      <c r="B176" s="70" t="s">
        <v>602</v>
      </c>
      <c r="C176" s="52" t="s">
        <v>603</v>
      </c>
      <c r="D176" s="50" t="s">
        <v>573</v>
      </c>
      <c r="E176" s="70" t="s">
        <v>604</v>
      </c>
      <c r="F176" s="69" t="s">
        <v>24</v>
      </c>
      <c r="G176" s="55">
        <v>42.4285714285714</v>
      </c>
      <c r="H176" s="79">
        <v>31.9</v>
      </c>
      <c r="I176" s="79">
        <v>4</v>
      </c>
      <c r="J176" s="79">
        <f t="shared" si="45"/>
        <v>78.3285714285714</v>
      </c>
      <c r="K176" s="79">
        <f t="shared" si="44"/>
        <v>7.83285714285714</v>
      </c>
      <c r="L176" s="101">
        <f t="shared" si="46"/>
        <v>86</v>
      </c>
      <c r="M176" s="99"/>
      <c r="N176" s="57">
        <f t="shared" si="47"/>
        <v>36.0149501661129</v>
      </c>
      <c r="O176" s="57">
        <f t="shared" si="48"/>
        <v>27.0779069767442</v>
      </c>
      <c r="P176" s="57">
        <f t="shared" si="49"/>
        <v>3.3953488372093</v>
      </c>
      <c r="Q176" s="57">
        <f t="shared" si="38"/>
        <v>66.4882059800664</v>
      </c>
      <c r="R176" s="102">
        <v>73</v>
      </c>
      <c r="S176" s="59"/>
    </row>
    <row r="177" ht="52" spans="1:19">
      <c r="A177" s="87" t="s">
        <v>605</v>
      </c>
      <c r="B177" s="70" t="s">
        <v>606</v>
      </c>
      <c r="C177" s="52" t="s">
        <v>607</v>
      </c>
      <c r="D177" s="50" t="s">
        <v>573</v>
      </c>
      <c r="E177" s="70" t="s">
        <v>608</v>
      </c>
      <c r="F177" s="69" t="s">
        <v>24</v>
      </c>
      <c r="G177" s="55">
        <v>25.9545</v>
      </c>
      <c r="H177" s="79">
        <v>20.262</v>
      </c>
      <c r="I177" s="79">
        <v>1.8</v>
      </c>
      <c r="J177" s="79">
        <f t="shared" si="45"/>
        <v>48.0165</v>
      </c>
      <c r="K177" s="79">
        <f t="shared" si="44"/>
        <v>4.80165</v>
      </c>
      <c r="L177" s="101">
        <f t="shared" si="46"/>
        <v>53</v>
      </c>
      <c r="M177" s="99" t="s">
        <v>609</v>
      </c>
      <c r="N177" s="57">
        <f t="shared" si="47"/>
        <v>22.0368396226415</v>
      </c>
      <c r="O177" s="57">
        <f t="shared" si="48"/>
        <v>17.2035849056604</v>
      </c>
      <c r="P177" s="57">
        <f t="shared" si="49"/>
        <v>1.52830188679245</v>
      </c>
      <c r="Q177" s="57">
        <f t="shared" si="38"/>
        <v>40.7687264150943</v>
      </c>
      <c r="R177" s="102">
        <v>45</v>
      </c>
      <c r="S177" s="59"/>
    </row>
    <row r="178" ht="52" spans="1:19">
      <c r="A178" s="87" t="s">
        <v>610</v>
      </c>
      <c r="B178" s="68" t="s">
        <v>611</v>
      </c>
      <c r="C178" s="52" t="s">
        <v>612</v>
      </c>
      <c r="D178" s="65" t="s">
        <v>573</v>
      </c>
      <c r="E178" s="70" t="s">
        <v>574</v>
      </c>
      <c r="F178" s="69" t="s">
        <v>24</v>
      </c>
      <c r="G178" s="55">
        <v>6.47955</v>
      </c>
      <c r="H178" s="79">
        <v>4.6827</v>
      </c>
      <c r="I178" s="79">
        <v>0.8</v>
      </c>
      <c r="J178" s="79">
        <f t="shared" si="45"/>
        <v>11.96225</v>
      </c>
      <c r="K178" s="79">
        <f t="shared" si="44"/>
        <v>1.196225</v>
      </c>
      <c r="L178" s="101">
        <f t="shared" si="46"/>
        <v>13</v>
      </c>
      <c r="M178" s="148"/>
      <c r="N178" s="57">
        <f t="shared" si="47"/>
        <v>0</v>
      </c>
      <c r="O178" s="57">
        <f t="shared" si="48"/>
        <v>0</v>
      </c>
      <c r="P178" s="57">
        <f t="shared" si="49"/>
        <v>0</v>
      </c>
      <c r="Q178" s="57">
        <f t="shared" si="38"/>
        <v>0</v>
      </c>
      <c r="R178" s="58"/>
      <c r="S178" s="59"/>
    </row>
    <row r="179" ht="65" spans="1:19">
      <c r="A179" s="87" t="s">
        <v>613</v>
      </c>
      <c r="B179" s="68" t="s">
        <v>614</v>
      </c>
      <c r="C179" s="52" t="s">
        <v>615</v>
      </c>
      <c r="D179" s="65" t="s">
        <v>573</v>
      </c>
      <c r="E179" s="70" t="s">
        <v>574</v>
      </c>
      <c r="F179" s="69" t="s">
        <v>24</v>
      </c>
      <c r="G179" s="55">
        <v>3.24885</v>
      </c>
      <c r="H179" s="79">
        <v>1.80587</v>
      </c>
      <c r="I179" s="79">
        <v>0.5</v>
      </c>
      <c r="J179" s="79">
        <f t="shared" si="45"/>
        <v>5.55472</v>
      </c>
      <c r="K179" s="79">
        <f t="shared" si="44"/>
        <v>0.555472</v>
      </c>
      <c r="L179" s="101">
        <f t="shared" si="46"/>
        <v>6</v>
      </c>
      <c r="M179" s="148"/>
      <c r="N179" s="57">
        <f t="shared" si="47"/>
        <v>0</v>
      </c>
      <c r="O179" s="57">
        <f t="shared" si="48"/>
        <v>0</v>
      </c>
      <c r="P179" s="57">
        <f t="shared" si="49"/>
        <v>0</v>
      </c>
      <c r="Q179" s="57">
        <f t="shared" si="38"/>
        <v>0</v>
      </c>
      <c r="R179" s="58"/>
      <c r="S179" s="59"/>
    </row>
    <row r="180" ht="65" spans="1:19">
      <c r="A180" s="87" t="s">
        <v>616</v>
      </c>
      <c r="B180" s="68" t="s">
        <v>617</v>
      </c>
      <c r="C180" s="52" t="s">
        <v>618</v>
      </c>
      <c r="D180" s="65" t="s">
        <v>573</v>
      </c>
      <c r="E180" s="70" t="s">
        <v>574</v>
      </c>
      <c r="F180" s="69" t="s">
        <v>24</v>
      </c>
      <c r="G180" s="55">
        <v>5.1909</v>
      </c>
      <c r="H180" s="79">
        <v>2.378827</v>
      </c>
      <c r="I180" s="79">
        <v>0.8</v>
      </c>
      <c r="J180" s="79">
        <f t="shared" si="45"/>
        <v>8.369727</v>
      </c>
      <c r="K180" s="79">
        <f t="shared" si="44"/>
        <v>0.8369727</v>
      </c>
      <c r="L180" s="101">
        <f t="shared" si="46"/>
        <v>9</v>
      </c>
      <c r="M180" s="148"/>
      <c r="N180" s="57">
        <f t="shared" si="47"/>
        <v>0</v>
      </c>
      <c r="O180" s="57">
        <f t="shared" si="48"/>
        <v>0</v>
      </c>
      <c r="P180" s="57">
        <f t="shared" si="49"/>
        <v>0</v>
      </c>
      <c r="Q180" s="57">
        <f t="shared" si="38"/>
        <v>0</v>
      </c>
      <c r="R180" s="58"/>
      <c r="S180" s="59"/>
    </row>
    <row r="181" ht="39" spans="1:19">
      <c r="A181" s="87" t="s">
        <v>619</v>
      </c>
      <c r="B181" s="68" t="s">
        <v>620</v>
      </c>
      <c r="C181" s="52" t="s">
        <v>621</v>
      </c>
      <c r="D181" s="65" t="s">
        <v>63</v>
      </c>
      <c r="E181" s="70" t="s">
        <v>604</v>
      </c>
      <c r="F181" s="69" t="s">
        <v>47</v>
      </c>
      <c r="G181" s="55">
        <v>6.897</v>
      </c>
      <c r="H181" s="79">
        <v>3.6113</v>
      </c>
      <c r="I181" s="79"/>
      <c r="J181" s="79">
        <f t="shared" si="45"/>
        <v>10.5083</v>
      </c>
      <c r="K181" s="79">
        <f t="shared" si="44"/>
        <v>1.05083</v>
      </c>
      <c r="L181" s="101">
        <f t="shared" si="46"/>
        <v>12</v>
      </c>
      <c r="M181" s="99"/>
      <c r="N181" s="57">
        <f t="shared" si="47"/>
        <v>4.598</v>
      </c>
      <c r="O181" s="57">
        <f t="shared" si="48"/>
        <v>2.40753333333333</v>
      </c>
      <c r="P181" s="57">
        <f t="shared" si="49"/>
        <v>0</v>
      </c>
      <c r="Q181" s="57">
        <f t="shared" si="38"/>
        <v>7.00553333333333</v>
      </c>
      <c r="R181" s="58">
        <v>8</v>
      </c>
      <c r="S181" s="59"/>
    </row>
    <row r="182" ht="43.5" spans="1:19">
      <c r="A182" s="87" t="s">
        <v>622</v>
      </c>
      <c r="B182" s="68" t="s">
        <v>623</v>
      </c>
      <c r="C182" s="52" t="s">
        <v>621</v>
      </c>
      <c r="D182" s="65" t="s">
        <v>63</v>
      </c>
      <c r="E182" s="70" t="s">
        <v>604</v>
      </c>
      <c r="F182" s="69" t="s">
        <v>47</v>
      </c>
      <c r="G182" s="55">
        <v>9.075</v>
      </c>
      <c r="H182" s="79">
        <v>4.815569</v>
      </c>
      <c r="I182" s="79"/>
      <c r="J182" s="79">
        <f t="shared" si="45"/>
        <v>13.890569</v>
      </c>
      <c r="K182" s="79">
        <f t="shared" si="44"/>
        <v>1.3890569</v>
      </c>
      <c r="L182" s="101">
        <f t="shared" si="46"/>
        <v>15</v>
      </c>
      <c r="M182" s="99"/>
      <c r="N182" s="57">
        <f t="shared" si="47"/>
        <v>7.26</v>
      </c>
      <c r="O182" s="57">
        <f t="shared" si="48"/>
        <v>3.8524552</v>
      </c>
      <c r="P182" s="57">
        <f t="shared" si="49"/>
        <v>0</v>
      </c>
      <c r="Q182" s="57">
        <f t="shared" si="38"/>
        <v>11.1124552</v>
      </c>
      <c r="R182" s="58">
        <v>12</v>
      </c>
      <c r="S182" s="59"/>
    </row>
    <row r="183" ht="304.5" spans="1:19">
      <c r="A183" s="87" t="s">
        <v>624</v>
      </c>
      <c r="B183" s="68" t="s">
        <v>625</v>
      </c>
      <c r="C183" s="52" t="s">
        <v>626</v>
      </c>
      <c r="D183" s="51" t="s">
        <v>573</v>
      </c>
      <c r="E183" s="70" t="s">
        <v>627</v>
      </c>
      <c r="F183" s="69" t="s">
        <v>24</v>
      </c>
      <c r="G183" s="55">
        <v>190.575</v>
      </c>
      <c r="H183" s="79">
        <v>110</v>
      </c>
      <c r="I183" s="79">
        <v>5</v>
      </c>
      <c r="J183" s="79">
        <f t="shared" si="45"/>
        <v>305.575</v>
      </c>
      <c r="K183" s="79">
        <f t="shared" si="44"/>
        <v>30.5575</v>
      </c>
      <c r="L183" s="101">
        <f t="shared" si="46"/>
        <v>336</v>
      </c>
      <c r="M183" s="99" t="s">
        <v>628</v>
      </c>
      <c r="N183" s="57">
        <f t="shared" si="47"/>
        <v>167.3203125</v>
      </c>
      <c r="O183" s="57">
        <f t="shared" si="48"/>
        <v>96.5773809523809</v>
      </c>
      <c r="P183" s="57">
        <f t="shared" si="49"/>
        <v>4.38988095238095</v>
      </c>
      <c r="Q183" s="57">
        <f t="shared" si="38"/>
        <v>268.287574404762</v>
      </c>
      <c r="R183" s="58">
        <v>295</v>
      </c>
      <c r="S183" s="59"/>
    </row>
    <row r="184" s="14" customFormat="1" ht="22.5" spans="1:19">
      <c r="A184" s="149" t="s">
        <v>629</v>
      </c>
      <c r="B184" s="150"/>
      <c r="C184" s="151"/>
      <c r="D184" s="152"/>
      <c r="E184" s="152"/>
      <c r="F184" s="152"/>
      <c r="G184" s="152"/>
      <c r="H184" s="152"/>
      <c r="I184" s="152"/>
      <c r="J184" s="152"/>
      <c r="K184" s="79">
        <f t="shared" si="44"/>
        <v>0</v>
      </c>
      <c r="L184" s="152"/>
      <c r="M184" s="153"/>
      <c r="N184" s="57"/>
      <c r="O184" s="57"/>
      <c r="P184" s="57"/>
      <c r="Q184" s="57">
        <f t="shared" si="38"/>
        <v>0</v>
      </c>
      <c r="R184" s="154"/>
      <c r="S184" s="86"/>
    </row>
    <row r="185" ht="27" customHeight="1" spans="1:19">
      <c r="A185" s="155" t="s">
        <v>264</v>
      </c>
      <c r="B185" s="156" t="s">
        <v>630</v>
      </c>
      <c r="C185" s="156"/>
      <c r="D185" s="157"/>
      <c r="E185" s="139"/>
      <c r="F185" s="140"/>
      <c r="G185" s="136"/>
      <c r="H185" s="136"/>
      <c r="I185" s="136"/>
      <c r="J185" s="136"/>
      <c r="K185" s="79">
        <f t="shared" si="44"/>
        <v>0</v>
      </c>
      <c r="L185" s="137"/>
      <c r="M185" s="138"/>
      <c r="N185" s="57"/>
      <c r="O185" s="57"/>
      <c r="P185" s="57"/>
      <c r="Q185" s="57">
        <f t="shared" si="38"/>
        <v>0</v>
      </c>
      <c r="R185" s="58"/>
      <c r="S185" s="59"/>
    </row>
    <row r="186" ht="13.5" customHeight="1" spans="1:19">
      <c r="A186" s="158"/>
      <c r="B186" s="159" t="s">
        <v>631</v>
      </c>
      <c r="C186" s="159"/>
      <c r="D186" s="160" t="s">
        <v>632</v>
      </c>
      <c r="E186" s="139"/>
      <c r="F186" s="140"/>
      <c r="G186" s="136"/>
      <c r="H186" s="136"/>
      <c r="I186" s="136"/>
      <c r="J186" s="136"/>
      <c r="K186" s="79">
        <f t="shared" si="44"/>
        <v>0</v>
      </c>
      <c r="L186" s="137"/>
      <c r="M186" s="138"/>
      <c r="N186" s="57"/>
      <c r="O186" s="57"/>
      <c r="P186" s="57"/>
      <c r="Q186" s="57">
        <f t="shared" si="38"/>
        <v>0</v>
      </c>
      <c r="R186" s="58"/>
      <c r="S186" s="59"/>
    </row>
    <row r="187" ht="40.5" customHeight="1" spans="1:19">
      <c r="A187" s="161" t="s">
        <v>633</v>
      </c>
      <c r="B187" s="162"/>
      <c r="C187" s="162" t="s">
        <v>634</v>
      </c>
      <c r="D187" s="160"/>
      <c r="E187" s="163" t="s">
        <v>635</v>
      </c>
      <c r="F187" s="140" t="s">
        <v>24</v>
      </c>
      <c r="G187" s="136">
        <f>97.02/1.2</f>
        <v>80.85</v>
      </c>
      <c r="H187" s="136"/>
      <c r="I187" s="136"/>
      <c r="J187" s="79">
        <f t="shared" ref="J187:J192" si="50">G187+H187+I187</f>
        <v>80.85</v>
      </c>
      <c r="K187" s="79">
        <f t="shared" si="44"/>
        <v>8.085</v>
      </c>
      <c r="L187" s="101">
        <f t="shared" ref="L187:L192" si="51">ROUND((J187+K187),0)</f>
        <v>89</v>
      </c>
      <c r="M187" s="138"/>
      <c r="N187" s="57">
        <f t="shared" ref="N187:N192" si="52">+R187/L187*G187</f>
        <v>72.6741573033708</v>
      </c>
      <c r="O187" s="57">
        <f t="shared" ref="O187:O192" si="53">+R187/L187*H187</f>
        <v>0</v>
      </c>
      <c r="P187" s="57">
        <f t="shared" ref="P187:P192" si="54">+R187/L187*I187</f>
        <v>0</v>
      </c>
      <c r="Q187" s="57">
        <f t="shared" si="38"/>
        <v>72.6741573033708</v>
      </c>
      <c r="R187" s="102">
        <v>80</v>
      </c>
      <c r="S187" s="59"/>
    </row>
    <row r="188" ht="56" spans="1:19">
      <c r="A188" s="161" t="s">
        <v>636</v>
      </c>
      <c r="B188" s="162"/>
      <c r="C188" s="162" t="s">
        <v>637</v>
      </c>
      <c r="D188" s="160"/>
      <c r="E188" s="163"/>
      <c r="F188" s="140" t="s">
        <v>24</v>
      </c>
      <c r="G188" s="136">
        <f>115.21125/1.2</f>
        <v>96.009375</v>
      </c>
      <c r="H188" s="136"/>
      <c r="I188" s="136"/>
      <c r="J188" s="79">
        <f t="shared" si="50"/>
        <v>96.009375</v>
      </c>
      <c r="K188" s="79">
        <f t="shared" si="44"/>
        <v>9.6009375</v>
      </c>
      <c r="L188" s="101">
        <f t="shared" si="51"/>
        <v>106</v>
      </c>
      <c r="M188" s="138"/>
      <c r="N188" s="57">
        <f t="shared" si="52"/>
        <v>81.5173938679245</v>
      </c>
      <c r="O188" s="57">
        <f t="shared" si="53"/>
        <v>0</v>
      </c>
      <c r="P188" s="57">
        <f t="shared" si="54"/>
        <v>0</v>
      </c>
      <c r="Q188" s="57">
        <f t="shared" si="38"/>
        <v>81.5173938679245</v>
      </c>
      <c r="R188" s="102">
        <v>90</v>
      </c>
      <c r="S188" s="59"/>
    </row>
    <row r="189" ht="56" spans="1:19">
      <c r="A189" s="161" t="s">
        <v>638</v>
      </c>
      <c r="B189" s="162"/>
      <c r="C189" s="162" t="s">
        <v>639</v>
      </c>
      <c r="D189" s="160"/>
      <c r="E189" s="163"/>
      <c r="F189" s="140" t="s">
        <v>24</v>
      </c>
      <c r="G189" s="136">
        <f>139.46625/1.2</f>
        <v>116.221875</v>
      </c>
      <c r="H189" s="136"/>
      <c r="I189" s="136"/>
      <c r="J189" s="79">
        <f t="shared" si="50"/>
        <v>116.221875</v>
      </c>
      <c r="K189" s="79">
        <f t="shared" si="44"/>
        <v>11.6221875</v>
      </c>
      <c r="L189" s="101">
        <f t="shared" si="51"/>
        <v>128</v>
      </c>
      <c r="M189" s="138"/>
      <c r="N189" s="57">
        <f t="shared" si="52"/>
        <v>95.3382568359375</v>
      </c>
      <c r="O189" s="57">
        <f t="shared" si="53"/>
        <v>0</v>
      </c>
      <c r="P189" s="57">
        <f t="shared" si="54"/>
        <v>0</v>
      </c>
      <c r="Q189" s="57">
        <f t="shared" si="38"/>
        <v>95.3382568359375</v>
      </c>
      <c r="R189" s="102">
        <v>105</v>
      </c>
      <c r="S189" s="59"/>
    </row>
    <row r="190" ht="56" spans="1:19">
      <c r="A190" s="161" t="s">
        <v>640</v>
      </c>
      <c r="B190" s="162"/>
      <c r="C190" s="162" t="s">
        <v>641</v>
      </c>
      <c r="D190" s="160"/>
      <c r="E190" s="163"/>
      <c r="F190" s="140" t="s">
        <v>24</v>
      </c>
      <c r="G190" s="136">
        <f>218.295/1.2</f>
        <v>181.9125</v>
      </c>
      <c r="H190" s="136"/>
      <c r="I190" s="136"/>
      <c r="J190" s="79">
        <f t="shared" si="50"/>
        <v>181.9125</v>
      </c>
      <c r="K190" s="79">
        <f t="shared" si="44"/>
        <v>18.19125</v>
      </c>
      <c r="L190" s="101">
        <f t="shared" si="51"/>
        <v>200</v>
      </c>
      <c r="M190" s="138"/>
      <c r="N190" s="57">
        <f t="shared" si="52"/>
        <v>145.53</v>
      </c>
      <c r="O190" s="57">
        <f t="shared" si="53"/>
        <v>0</v>
      </c>
      <c r="P190" s="57">
        <f t="shared" si="54"/>
        <v>0</v>
      </c>
      <c r="Q190" s="57">
        <f t="shared" si="38"/>
        <v>145.53</v>
      </c>
      <c r="R190" s="102">
        <v>160</v>
      </c>
      <c r="S190" s="59"/>
    </row>
    <row r="191" ht="42" spans="1:19">
      <c r="A191" s="161" t="s">
        <v>642</v>
      </c>
      <c r="B191" s="162"/>
      <c r="C191" s="162" t="s">
        <v>643</v>
      </c>
      <c r="D191" s="160"/>
      <c r="E191" s="163"/>
      <c r="F191" s="140" t="s">
        <v>24</v>
      </c>
      <c r="G191" s="136">
        <f>84.8925/1.2</f>
        <v>70.74375</v>
      </c>
      <c r="H191" s="136"/>
      <c r="I191" s="136"/>
      <c r="J191" s="79">
        <f t="shared" si="50"/>
        <v>70.74375</v>
      </c>
      <c r="K191" s="79">
        <f t="shared" si="44"/>
        <v>7.074375</v>
      </c>
      <c r="L191" s="101">
        <f t="shared" si="51"/>
        <v>78</v>
      </c>
      <c r="M191" s="138"/>
      <c r="N191" s="57">
        <f t="shared" si="52"/>
        <v>0</v>
      </c>
      <c r="O191" s="57">
        <f t="shared" si="53"/>
        <v>0</v>
      </c>
      <c r="P191" s="57">
        <f t="shared" si="54"/>
        <v>0</v>
      </c>
      <c r="Q191" s="57">
        <f t="shared" si="38"/>
        <v>0</v>
      </c>
      <c r="R191" s="102"/>
      <c r="S191" s="59"/>
    </row>
    <row r="192" ht="42" spans="1:19">
      <c r="A192" s="161" t="s">
        <v>644</v>
      </c>
      <c r="B192" s="162"/>
      <c r="C192" s="162" t="s">
        <v>645</v>
      </c>
      <c r="D192" s="160"/>
      <c r="E192" s="163"/>
      <c r="F192" s="140" t="s">
        <v>24</v>
      </c>
      <c r="G192" s="136">
        <f>60.6375/1.2</f>
        <v>50.53125</v>
      </c>
      <c r="H192" s="136"/>
      <c r="I192" s="136"/>
      <c r="J192" s="79">
        <f t="shared" si="50"/>
        <v>50.53125</v>
      </c>
      <c r="K192" s="79">
        <f t="shared" si="44"/>
        <v>5.053125</v>
      </c>
      <c r="L192" s="101">
        <f t="shared" si="51"/>
        <v>56</v>
      </c>
      <c r="M192" s="138"/>
      <c r="N192" s="57">
        <f t="shared" si="52"/>
        <v>0</v>
      </c>
      <c r="O192" s="57">
        <f t="shared" si="53"/>
        <v>0</v>
      </c>
      <c r="P192" s="57">
        <f t="shared" si="54"/>
        <v>0</v>
      </c>
      <c r="Q192" s="57">
        <f t="shared" si="38"/>
        <v>0</v>
      </c>
      <c r="R192" s="102"/>
      <c r="S192" s="59"/>
    </row>
    <row r="193" ht="14.5" spans="1:19">
      <c r="A193" s="161"/>
      <c r="B193" s="159" t="s">
        <v>646</v>
      </c>
      <c r="C193" s="159"/>
      <c r="D193" s="160"/>
      <c r="E193" s="162"/>
      <c r="F193" s="140"/>
      <c r="G193" s="136"/>
      <c r="H193" s="136"/>
      <c r="I193" s="136"/>
      <c r="J193" s="136"/>
      <c r="K193" s="79">
        <f t="shared" si="44"/>
        <v>0</v>
      </c>
      <c r="L193" s="164"/>
      <c r="M193" s="138"/>
      <c r="N193" s="57"/>
      <c r="O193" s="57"/>
      <c r="P193" s="57"/>
      <c r="Q193" s="57">
        <f t="shared" si="38"/>
        <v>0</v>
      </c>
      <c r="R193" s="102"/>
      <c r="S193" s="59"/>
    </row>
    <row r="194" ht="42" spans="1:19">
      <c r="A194" s="161" t="s">
        <v>647</v>
      </c>
      <c r="B194" s="162"/>
      <c r="C194" s="162" t="s">
        <v>648</v>
      </c>
      <c r="D194" s="160"/>
      <c r="E194" s="162" t="s">
        <v>649</v>
      </c>
      <c r="F194" s="140" t="s">
        <v>650</v>
      </c>
      <c r="G194" s="136">
        <f>1212.75/1.2</f>
        <v>1010.625</v>
      </c>
      <c r="H194" s="136"/>
      <c r="I194" s="136"/>
      <c r="J194" s="79">
        <f>G194+H194+I194</f>
        <v>1010.625</v>
      </c>
      <c r="K194" s="79">
        <f t="shared" si="44"/>
        <v>101.0625</v>
      </c>
      <c r="L194" s="101">
        <f>ROUND((J194+K194),0)</f>
        <v>1112</v>
      </c>
      <c r="M194" s="138"/>
      <c r="N194" s="57"/>
      <c r="O194" s="57"/>
      <c r="P194" s="57"/>
      <c r="Q194" s="57">
        <f t="shared" si="38"/>
        <v>0</v>
      </c>
      <c r="R194" s="102" t="s">
        <v>651</v>
      </c>
      <c r="S194" s="59"/>
    </row>
    <row r="195" ht="28" spans="1:19">
      <c r="A195" s="161" t="s">
        <v>652</v>
      </c>
      <c r="B195" s="162"/>
      <c r="C195" s="162" t="s">
        <v>653</v>
      </c>
      <c r="D195" s="160"/>
      <c r="E195" s="162" t="s">
        <v>654</v>
      </c>
      <c r="F195" s="140" t="s">
        <v>195</v>
      </c>
      <c r="G195" s="136">
        <f>181.65/1.2</f>
        <v>151.375</v>
      </c>
      <c r="H195" s="136"/>
      <c r="I195" s="136"/>
      <c r="J195" s="79">
        <f>G195+H195+I195</f>
        <v>151.375</v>
      </c>
      <c r="K195" s="79">
        <f t="shared" si="44"/>
        <v>15.1375</v>
      </c>
      <c r="L195" s="101">
        <f>ROUND((J195+K195),0)</f>
        <v>167</v>
      </c>
      <c r="M195" s="138"/>
      <c r="N195" s="57">
        <f>+R195/L195*G195</f>
        <v>108.77245508982</v>
      </c>
      <c r="O195" s="57">
        <f>+R195/L195*H195</f>
        <v>0</v>
      </c>
      <c r="P195" s="57">
        <f>+R195/L195*I195</f>
        <v>0</v>
      </c>
      <c r="Q195" s="57">
        <f t="shared" si="38"/>
        <v>108.77245508982</v>
      </c>
      <c r="R195" s="102">
        <v>120</v>
      </c>
      <c r="S195" s="59"/>
    </row>
    <row r="196" ht="13.5" customHeight="1" spans="1:19">
      <c r="A196" s="165"/>
      <c r="B196" s="166" t="s">
        <v>655</v>
      </c>
      <c r="C196" s="166"/>
      <c r="D196" s="139"/>
      <c r="E196" s="139"/>
      <c r="F196" s="140"/>
      <c r="G196" s="136"/>
      <c r="H196" s="136"/>
      <c r="I196" s="136"/>
      <c r="J196" s="136"/>
      <c r="K196" s="79">
        <f t="shared" si="44"/>
        <v>0</v>
      </c>
      <c r="L196" s="167"/>
      <c r="M196" s="138"/>
      <c r="N196" s="57"/>
      <c r="O196" s="57"/>
      <c r="P196" s="57"/>
      <c r="Q196" s="57">
        <f t="shared" si="38"/>
        <v>0</v>
      </c>
      <c r="R196" s="102"/>
      <c r="S196" s="59"/>
    </row>
    <row r="197" ht="61.5" customHeight="1" spans="1:19">
      <c r="A197" s="168" t="s">
        <v>656</v>
      </c>
      <c r="B197" s="139"/>
      <c r="C197" s="70" t="s">
        <v>657</v>
      </c>
      <c r="D197" s="104" t="s">
        <v>658</v>
      </c>
      <c r="E197" s="71" t="s">
        <v>659</v>
      </c>
      <c r="F197" s="104" t="s">
        <v>24</v>
      </c>
      <c r="G197" s="136">
        <f>79.8/1.2</f>
        <v>66.5</v>
      </c>
      <c r="H197" s="136"/>
      <c r="I197" s="136"/>
      <c r="J197" s="79">
        <f>G197+H197+I197</f>
        <v>66.5</v>
      </c>
      <c r="K197" s="79">
        <f t="shared" si="44"/>
        <v>6.65</v>
      </c>
      <c r="L197" s="101">
        <f>ROUND((J197+K197),0)</f>
        <v>73</v>
      </c>
      <c r="M197" s="138"/>
      <c r="N197" s="57">
        <f>+R197/L197*G197</f>
        <v>68.3219178082192</v>
      </c>
      <c r="O197" s="57">
        <f>+R197/L197*H197</f>
        <v>0</v>
      </c>
      <c r="P197" s="57">
        <f>+R197/L197*I197</f>
        <v>0</v>
      </c>
      <c r="Q197" s="57">
        <f t="shared" si="38"/>
        <v>68.3219178082192</v>
      </c>
      <c r="R197" s="102">
        <v>75</v>
      </c>
      <c r="S197" s="59"/>
    </row>
    <row r="198" ht="61.5" customHeight="1" spans="1:19">
      <c r="A198" s="168" t="s">
        <v>660</v>
      </c>
      <c r="B198" s="139"/>
      <c r="C198" s="70"/>
      <c r="D198" s="104" t="s">
        <v>661</v>
      </c>
      <c r="E198" s="71"/>
      <c r="F198" s="104" t="s">
        <v>24</v>
      </c>
      <c r="G198" s="136">
        <f>133.4025/1.2</f>
        <v>111.16875</v>
      </c>
      <c r="H198" s="136"/>
      <c r="I198" s="136"/>
      <c r="J198" s="79">
        <f>G198+H198+I198</f>
        <v>111.16875</v>
      </c>
      <c r="K198" s="79">
        <f t="shared" si="44"/>
        <v>11.116875</v>
      </c>
      <c r="L198" s="101">
        <f>ROUND((J198+K198),0)</f>
        <v>122</v>
      </c>
      <c r="M198" s="138"/>
      <c r="N198" s="57">
        <f>+R198/L198*G198</f>
        <v>100.234118852459</v>
      </c>
      <c r="O198" s="57">
        <f>+R198/L198*H198</f>
        <v>0</v>
      </c>
      <c r="P198" s="57">
        <f>+R198/L198*I198</f>
        <v>0</v>
      </c>
      <c r="Q198" s="57">
        <f t="shared" si="38"/>
        <v>100.234118852459</v>
      </c>
      <c r="R198" s="102">
        <v>110</v>
      </c>
      <c r="S198" s="59"/>
    </row>
    <row r="199" ht="61.5" customHeight="1" spans="1:19">
      <c r="A199" s="168" t="s">
        <v>662</v>
      </c>
      <c r="B199" s="139"/>
      <c r="C199" s="70"/>
      <c r="D199" s="104" t="s">
        <v>663</v>
      </c>
      <c r="E199" s="71"/>
      <c r="F199" s="104" t="s">
        <v>24</v>
      </c>
      <c r="G199" s="136">
        <f>157.6575/1.2</f>
        <v>131.38125</v>
      </c>
      <c r="H199" s="136"/>
      <c r="I199" s="136"/>
      <c r="J199" s="79">
        <f>G199+H199+I199</f>
        <v>131.38125</v>
      </c>
      <c r="K199" s="79">
        <f t="shared" si="44"/>
        <v>13.138125</v>
      </c>
      <c r="L199" s="101">
        <f>ROUND((J199+K199),0)</f>
        <v>145</v>
      </c>
      <c r="M199" s="138"/>
      <c r="N199" s="57">
        <f>+R199/L199*G199</f>
        <v>113.259698275862</v>
      </c>
      <c r="O199" s="57">
        <f>+R199/L199*H199</f>
        <v>0</v>
      </c>
      <c r="P199" s="57">
        <f>+R199/L199*I199</f>
        <v>0</v>
      </c>
      <c r="Q199" s="57">
        <f>SUM(N199:P199)</f>
        <v>113.259698275862</v>
      </c>
      <c r="R199" s="102">
        <v>125</v>
      </c>
      <c r="S199" s="59"/>
    </row>
    <row r="200" ht="61.5" customHeight="1" spans="1:19">
      <c r="A200" s="168" t="s">
        <v>664</v>
      </c>
      <c r="B200" s="139"/>
      <c r="C200" s="70"/>
      <c r="D200" s="104" t="s">
        <v>665</v>
      </c>
      <c r="E200" s="71"/>
      <c r="F200" s="104" t="s">
        <v>24</v>
      </c>
      <c r="G200" s="136">
        <f>200/1.2</f>
        <v>166.666666666667</v>
      </c>
      <c r="H200" s="136"/>
      <c r="I200" s="136"/>
      <c r="J200" s="79">
        <f>G200+H200+I200</f>
        <v>166.666666666667</v>
      </c>
      <c r="K200" s="79">
        <f t="shared" si="44"/>
        <v>16.6666666666667</v>
      </c>
      <c r="L200" s="101">
        <f>ROUND((J200+K200),0)</f>
        <v>183</v>
      </c>
      <c r="M200" s="138"/>
      <c r="N200" s="57">
        <f>+R200/L200*G200</f>
        <v>145.719489981785</v>
      </c>
      <c r="O200" s="57">
        <f>+R200/L200*H200</f>
        <v>0</v>
      </c>
      <c r="P200" s="57">
        <f>+R200/L200*I200</f>
        <v>0</v>
      </c>
      <c r="Q200" s="57">
        <f>SUM(N200:P200)</f>
        <v>145.719489981785</v>
      </c>
      <c r="R200" s="102">
        <v>160</v>
      </c>
      <c r="S200" s="59"/>
    </row>
    <row r="201" ht="14.5" spans="1:19">
      <c r="A201" s="168" t="s">
        <v>666</v>
      </c>
      <c r="B201" s="139"/>
      <c r="C201" s="70" t="s">
        <v>667</v>
      </c>
      <c r="D201" s="139"/>
      <c r="E201" s="71"/>
      <c r="F201" s="104" t="s">
        <v>24</v>
      </c>
      <c r="G201" s="136">
        <f>90/1.2</f>
        <v>75</v>
      </c>
      <c r="H201" s="136"/>
      <c r="I201" s="136"/>
      <c r="J201" s="79">
        <f>G201+H201+I201</f>
        <v>75</v>
      </c>
      <c r="K201" s="79">
        <f t="shared" si="44"/>
        <v>7.5</v>
      </c>
      <c r="L201" s="101">
        <f>ROUND((J201+K201),0)</f>
        <v>83</v>
      </c>
      <c r="M201" s="138"/>
      <c r="N201" s="57">
        <f>+R201/L201*G201</f>
        <v>72.289156626506</v>
      </c>
      <c r="O201" s="57">
        <f>+R201/L201*H201</f>
        <v>0</v>
      </c>
      <c r="P201" s="57">
        <f>+R201/L201*I201</f>
        <v>0</v>
      </c>
      <c r="Q201" s="57">
        <f>SUM(N201:P201)</f>
        <v>72.289156626506</v>
      </c>
      <c r="R201" s="102">
        <v>80</v>
      </c>
      <c r="S201" s="59"/>
    </row>
    <row r="202" ht="42" spans="1:19">
      <c r="A202" s="168" t="s">
        <v>668</v>
      </c>
      <c r="B202" s="139"/>
      <c r="C202" s="104" t="s">
        <v>669</v>
      </c>
      <c r="D202" s="104"/>
      <c r="E202" s="162" t="s">
        <v>670</v>
      </c>
      <c r="F202" s="104"/>
      <c r="G202" s="136"/>
      <c r="H202" s="136"/>
      <c r="I202" s="136"/>
      <c r="J202" s="136"/>
      <c r="K202" s="79"/>
      <c r="L202" s="137"/>
      <c r="M202" s="138"/>
      <c r="N202" s="57"/>
      <c r="O202" s="57"/>
      <c r="P202" s="57"/>
      <c r="Q202" s="57"/>
      <c r="R202" s="58"/>
      <c r="S202" s="59"/>
    </row>
    <row r="203" customHeight="1" spans="1:19">
      <c r="A203" s="165"/>
      <c r="B203" s="169" t="s">
        <v>671</v>
      </c>
      <c r="C203" s="170"/>
      <c r="D203" s="157"/>
      <c r="E203" s="157"/>
      <c r="F203" s="157"/>
      <c r="G203" s="157"/>
      <c r="H203" s="136"/>
      <c r="I203" s="136"/>
      <c r="J203" s="136"/>
      <c r="K203" s="79"/>
      <c r="L203" s="137"/>
      <c r="M203" s="138"/>
      <c r="N203" s="57"/>
      <c r="O203" s="57"/>
      <c r="P203" s="57"/>
      <c r="Q203" s="57"/>
      <c r="R203" s="58"/>
      <c r="S203" s="59"/>
    </row>
    <row r="204" ht="43.5" spans="1:19">
      <c r="A204" s="168" t="s">
        <v>672</v>
      </c>
      <c r="B204" s="104" t="s">
        <v>673</v>
      </c>
      <c r="C204" s="104"/>
      <c r="D204" s="71"/>
      <c r="E204" s="71" t="s">
        <v>674</v>
      </c>
      <c r="F204" s="55"/>
      <c r="G204" s="55"/>
      <c r="H204" s="136"/>
      <c r="I204" s="136"/>
      <c r="J204" s="136"/>
      <c r="K204" s="79"/>
      <c r="L204" s="101">
        <f>ROUND((J204+K204),0)</f>
        <v>0</v>
      </c>
      <c r="M204" s="138"/>
      <c r="N204" s="57"/>
      <c r="O204" s="57"/>
      <c r="P204" s="57"/>
      <c r="Q204" s="57"/>
      <c r="R204" s="58"/>
      <c r="S204" s="59"/>
    </row>
    <row r="205" spans="1:19">
      <c r="A205" s="168" t="s">
        <v>675</v>
      </c>
      <c r="B205" s="109" t="s">
        <v>676</v>
      </c>
      <c r="C205" s="109"/>
      <c r="D205" s="71"/>
      <c r="E205" s="71"/>
      <c r="F205" s="55"/>
      <c r="G205" s="55"/>
      <c r="H205" s="136"/>
      <c r="I205" s="136"/>
      <c r="J205" s="136"/>
      <c r="K205" s="79"/>
      <c r="L205" s="137"/>
      <c r="M205" s="138"/>
      <c r="N205" s="57"/>
      <c r="O205" s="57"/>
      <c r="P205" s="57"/>
      <c r="Q205" s="57"/>
      <c r="R205" s="58"/>
      <c r="S205" s="59"/>
    </row>
    <row r="206" ht="29" spans="1:19">
      <c r="A206" s="168" t="s">
        <v>677</v>
      </c>
      <c r="B206" s="104" t="s">
        <v>678</v>
      </c>
      <c r="C206" s="104"/>
      <c r="D206" s="71"/>
      <c r="E206" s="71"/>
      <c r="F206" s="55"/>
      <c r="G206" s="55"/>
      <c r="H206" s="136"/>
      <c r="I206" s="136"/>
      <c r="J206" s="136"/>
      <c r="K206" s="79"/>
      <c r="L206" s="137"/>
      <c r="M206" s="138"/>
      <c r="N206" s="57"/>
      <c r="O206" s="57"/>
      <c r="P206" s="57"/>
      <c r="Q206" s="57"/>
      <c r="R206" s="58"/>
      <c r="S206" s="59"/>
    </row>
    <row r="207" s="14" customFormat="1" ht="33.75" customHeight="1" spans="1:19">
      <c r="A207" s="80" t="s">
        <v>679</v>
      </c>
      <c r="B207" s="81"/>
      <c r="C207" s="82"/>
      <c r="D207" s="83"/>
      <c r="E207" s="83"/>
      <c r="F207" s="83"/>
      <c r="G207" s="83"/>
      <c r="H207" s="83"/>
      <c r="I207" s="83"/>
      <c r="J207" s="83"/>
      <c r="K207" s="83"/>
      <c r="L207" s="83"/>
      <c r="M207" s="84"/>
      <c r="N207" s="57"/>
      <c r="O207" s="57"/>
      <c r="P207" s="57"/>
      <c r="Q207" s="57"/>
      <c r="R207" s="171"/>
      <c r="S207" s="86"/>
    </row>
    <row r="208" spans="1:19">
      <c r="A208" s="172"/>
      <c r="B208" s="166" t="s">
        <v>680</v>
      </c>
      <c r="C208" s="166"/>
      <c r="D208" s="139"/>
      <c r="E208" s="139"/>
      <c r="F208" s="140"/>
      <c r="G208" s="136"/>
      <c r="H208" s="136"/>
      <c r="I208" s="136"/>
      <c r="J208" s="136"/>
      <c r="K208" s="136"/>
      <c r="L208" s="137"/>
      <c r="M208" s="138"/>
      <c r="N208" s="57"/>
      <c r="O208" s="57"/>
      <c r="P208" s="57"/>
      <c r="Q208" s="57"/>
      <c r="R208" s="58"/>
      <c r="S208" s="59"/>
    </row>
    <row r="209" ht="39.75" customHeight="1" spans="1:19">
      <c r="A209" s="87" t="s">
        <v>681</v>
      </c>
      <c r="B209" s="63" t="s">
        <v>682</v>
      </c>
      <c r="C209" s="63" t="s">
        <v>683</v>
      </c>
      <c r="D209" s="69"/>
      <c r="E209" s="70" t="s">
        <v>684</v>
      </c>
      <c r="F209" s="69" t="s">
        <v>531</v>
      </c>
      <c r="G209" s="173"/>
      <c r="H209" s="173">
        <f>1540/1.2</f>
        <v>1283.33333333333</v>
      </c>
      <c r="I209" s="173"/>
      <c r="J209" s="79">
        <f t="shared" ref="J209:J221" si="55">G209+H209+I209</f>
        <v>1283.33333333333</v>
      </c>
      <c r="K209" s="79">
        <f>J209*0.1</f>
        <v>128.333333333333</v>
      </c>
      <c r="L209" s="101">
        <f t="shared" ref="L209:L221" si="56">ROUND((J209+K209),0)</f>
        <v>1412</v>
      </c>
      <c r="M209" s="174" t="s">
        <v>685</v>
      </c>
      <c r="N209" s="57">
        <f t="shared" ref="N209:N214" si="57">+R209/L209*G209</f>
        <v>0</v>
      </c>
      <c r="O209" s="57">
        <f t="shared" ref="O209:O214" si="58">+R209/L209*H209</f>
        <v>0</v>
      </c>
      <c r="P209" s="57">
        <f t="shared" ref="P209:P214" si="59">+R209/L209*I209</f>
        <v>0</v>
      </c>
      <c r="Q209" s="57">
        <f t="shared" ref="Q209:Q221" si="60">SUM(N209:P209)</f>
        <v>0</v>
      </c>
      <c r="R209" s="102"/>
      <c r="S209" s="59"/>
    </row>
    <row r="210" ht="39.75" customHeight="1" spans="1:19">
      <c r="A210" s="87" t="s">
        <v>686</v>
      </c>
      <c r="B210" s="63" t="s">
        <v>687</v>
      </c>
      <c r="C210" s="63" t="s">
        <v>688</v>
      </c>
      <c r="D210" s="69"/>
      <c r="E210" s="70"/>
      <c r="F210" s="69" t="s">
        <v>531</v>
      </c>
      <c r="G210" s="173"/>
      <c r="H210" s="173">
        <f>2750/1.2</f>
        <v>2291.66666666667</v>
      </c>
      <c r="I210" s="173"/>
      <c r="J210" s="79">
        <f t="shared" si="55"/>
        <v>2291.66666666667</v>
      </c>
      <c r="K210" s="79">
        <f t="shared" ref="K210:K232" si="61">J210*0.1</f>
        <v>229.166666666667</v>
      </c>
      <c r="L210" s="101">
        <f t="shared" si="56"/>
        <v>2521</v>
      </c>
      <c r="M210" s="174" t="s">
        <v>685</v>
      </c>
      <c r="N210" s="57">
        <f t="shared" si="57"/>
        <v>0</v>
      </c>
      <c r="O210" s="57">
        <f t="shared" si="58"/>
        <v>0</v>
      </c>
      <c r="P210" s="57">
        <f t="shared" si="59"/>
        <v>0</v>
      </c>
      <c r="Q210" s="57">
        <f t="shared" si="60"/>
        <v>0</v>
      </c>
      <c r="R210" s="102"/>
      <c r="S210" s="59"/>
    </row>
    <row r="211" ht="39.75" customHeight="1" spans="1:19">
      <c r="A211" s="87" t="s">
        <v>689</v>
      </c>
      <c r="B211" s="63" t="s">
        <v>690</v>
      </c>
      <c r="C211" s="63" t="s">
        <v>691</v>
      </c>
      <c r="D211" s="69"/>
      <c r="E211" s="70"/>
      <c r="F211" s="69" t="s">
        <v>531</v>
      </c>
      <c r="G211" s="173"/>
      <c r="H211" s="173">
        <f>2530/1.2</f>
        <v>2108.33333333333</v>
      </c>
      <c r="I211" s="173"/>
      <c r="J211" s="79">
        <f t="shared" si="55"/>
        <v>2108.33333333333</v>
      </c>
      <c r="K211" s="79">
        <f t="shared" si="61"/>
        <v>210.833333333333</v>
      </c>
      <c r="L211" s="101">
        <f t="shared" si="56"/>
        <v>2319</v>
      </c>
      <c r="M211" s="174" t="s">
        <v>685</v>
      </c>
      <c r="N211" s="57">
        <f t="shared" si="57"/>
        <v>0</v>
      </c>
      <c r="O211" s="57">
        <f t="shared" si="58"/>
        <v>0</v>
      </c>
      <c r="P211" s="57">
        <f t="shared" si="59"/>
        <v>0</v>
      </c>
      <c r="Q211" s="57">
        <f t="shared" si="60"/>
        <v>0</v>
      </c>
      <c r="R211" s="102"/>
      <c r="S211" s="59"/>
    </row>
    <row r="212" ht="39.75" customHeight="1" spans="1:19">
      <c r="A212" s="87" t="s">
        <v>692</v>
      </c>
      <c r="B212" s="63" t="s">
        <v>693</v>
      </c>
      <c r="C212" s="63" t="s">
        <v>694</v>
      </c>
      <c r="D212" s="69"/>
      <c r="E212" s="70"/>
      <c r="F212" s="69" t="s">
        <v>531</v>
      </c>
      <c r="G212" s="173"/>
      <c r="H212" s="173">
        <f>1980/1.2</f>
        <v>1650</v>
      </c>
      <c r="I212" s="173"/>
      <c r="J212" s="79">
        <f t="shared" si="55"/>
        <v>1650</v>
      </c>
      <c r="K212" s="79">
        <f t="shared" si="61"/>
        <v>165</v>
      </c>
      <c r="L212" s="101">
        <f t="shared" si="56"/>
        <v>1815</v>
      </c>
      <c r="M212" s="174" t="s">
        <v>685</v>
      </c>
      <c r="N212" s="57">
        <f t="shared" si="57"/>
        <v>0</v>
      </c>
      <c r="O212" s="57">
        <f t="shared" si="58"/>
        <v>0</v>
      </c>
      <c r="P212" s="57">
        <f t="shared" si="59"/>
        <v>0</v>
      </c>
      <c r="Q212" s="57">
        <f t="shared" si="60"/>
        <v>0</v>
      </c>
      <c r="R212" s="102"/>
      <c r="S212" s="59"/>
    </row>
    <row r="213" ht="39.75" customHeight="1" spans="1:19">
      <c r="A213" s="87" t="s">
        <v>695</v>
      </c>
      <c r="B213" s="63" t="s">
        <v>696</v>
      </c>
      <c r="C213" s="63" t="s">
        <v>697</v>
      </c>
      <c r="D213" s="69"/>
      <c r="E213" s="70"/>
      <c r="F213" s="69" t="s">
        <v>531</v>
      </c>
      <c r="G213" s="173"/>
      <c r="H213" s="173">
        <f>660/1.2</f>
        <v>550</v>
      </c>
      <c r="I213" s="173"/>
      <c r="J213" s="79">
        <f t="shared" si="55"/>
        <v>550</v>
      </c>
      <c r="K213" s="79">
        <f t="shared" si="61"/>
        <v>55</v>
      </c>
      <c r="L213" s="101">
        <f t="shared" si="56"/>
        <v>605</v>
      </c>
      <c r="M213" s="174" t="s">
        <v>685</v>
      </c>
      <c r="N213" s="57">
        <f t="shared" si="57"/>
        <v>0</v>
      </c>
      <c r="O213" s="57">
        <f t="shared" si="58"/>
        <v>0</v>
      </c>
      <c r="P213" s="57">
        <f t="shared" si="59"/>
        <v>0</v>
      </c>
      <c r="Q213" s="57">
        <f t="shared" si="60"/>
        <v>0</v>
      </c>
      <c r="R213" s="102"/>
      <c r="S213" s="59"/>
    </row>
    <row r="214" ht="39.75" customHeight="1" spans="1:19">
      <c r="A214" s="87" t="s">
        <v>698</v>
      </c>
      <c r="B214" s="63" t="s">
        <v>696</v>
      </c>
      <c r="C214" s="63" t="s">
        <v>697</v>
      </c>
      <c r="D214" s="69"/>
      <c r="E214" s="70"/>
      <c r="F214" s="69" t="s">
        <v>531</v>
      </c>
      <c r="G214" s="173"/>
      <c r="H214" s="173">
        <f>990/1.2</f>
        <v>825</v>
      </c>
      <c r="I214" s="173"/>
      <c r="J214" s="79">
        <f t="shared" si="55"/>
        <v>825</v>
      </c>
      <c r="K214" s="79">
        <f t="shared" si="61"/>
        <v>82.5</v>
      </c>
      <c r="L214" s="101">
        <f t="shared" si="56"/>
        <v>908</v>
      </c>
      <c r="M214" s="174" t="s">
        <v>685</v>
      </c>
      <c r="N214" s="57">
        <f t="shared" si="57"/>
        <v>0</v>
      </c>
      <c r="O214" s="57">
        <f t="shared" si="58"/>
        <v>0</v>
      </c>
      <c r="P214" s="57">
        <f t="shared" si="59"/>
        <v>0</v>
      </c>
      <c r="Q214" s="57">
        <f t="shared" si="60"/>
        <v>0</v>
      </c>
      <c r="R214" s="102"/>
      <c r="S214" s="59"/>
    </row>
    <row r="215" ht="29" spans="1:19">
      <c r="A215" s="87" t="s">
        <v>699</v>
      </c>
      <c r="B215" s="70" t="s">
        <v>700</v>
      </c>
      <c r="C215" s="70" t="s">
        <v>694</v>
      </c>
      <c r="D215" s="69"/>
      <c r="E215" s="69" t="s">
        <v>701</v>
      </c>
      <c r="F215" s="69" t="s">
        <v>531</v>
      </c>
      <c r="G215" s="173"/>
      <c r="H215" s="173">
        <f>329.6315/1.2</f>
        <v>274.692916666667</v>
      </c>
      <c r="I215" s="173"/>
      <c r="J215" s="79">
        <f t="shared" si="55"/>
        <v>274.692916666667</v>
      </c>
      <c r="K215" s="79">
        <f t="shared" si="61"/>
        <v>27.4692916666667</v>
      </c>
      <c r="L215" s="101">
        <f t="shared" si="56"/>
        <v>302</v>
      </c>
      <c r="M215" s="174" t="s">
        <v>370</v>
      </c>
      <c r="N215" s="175">
        <v>180</v>
      </c>
      <c r="O215" s="175">
        <v>0</v>
      </c>
      <c r="P215" s="175">
        <f>0.2*5*40</f>
        <v>40</v>
      </c>
      <c r="Q215" s="57">
        <f t="shared" si="60"/>
        <v>220</v>
      </c>
      <c r="R215" s="102"/>
      <c r="S215" s="59"/>
    </row>
    <row r="216" ht="29" spans="1:19">
      <c r="A216" s="87" t="s">
        <v>702</v>
      </c>
      <c r="B216" s="70" t="s">
        <v>703</v>
      </c>
      <c r="C216" s="70" t="s">
        <v>704</v>
      </c>
      <c r="D216" s="69"/>
      <c r="E216" s="69" t="s">
        <v>701</v>
      </c>
      <c r="F216" s="69" t="s">
        <v>531</v>
      </c>
      <c r="G216" s="173"/>
      <c r="H216" s="173">
        <f>372.2565/1.2</f>
        <v>310.21375</v>
      </c>
      <c r="I216" s="173"/>
      <c r="J216" s="79">
        <f t="shared" si="55"/>
        <v>310.21375</v>
      </c>
      <c r="K216" s="79">
        <f t="shared" si="61"/>
        <v>31.021375</v>
      </c>
      <c r="L216" s="101">
        <f t="shared" si="56"/>
        <v>341</v>
      </c>
      <c r="M216" s="174" t="s">
        <v>370</v>
      </c>
      <c r="N216" s="175">
        <v>200</v>
      </c>
      <c r="O216" s="175">
        <v>0</v>
      </c>
      <c r="P216" s="175">
        <v>55</v>
      </c>
      <c r="Q216" s="57">
        <f t="shared" si="60"/>
        <v>255</v>
      </c>
      <c r="R216" s="102"/>
      <c r="S216" s="59"/>
    </row>
    <row r="217" ht="43.5" spans="1:19">
      <c r="A217" s="87" t="s">
        <v>705</v>
      </c>
      <c r="B217" s="70" t="s">
        <v>706</v>
      </c>
      <c r="C217" s="70" t="s">
        <v>707</v>
      </c>
      <c r="D217" s="69"/>
      <c r="E217" s="63" t="s">
        <v>708</v>
      </c>
      <c r="F217" s="69" t="s">
        <v>531</v>
      </c>
      <c r="G217" s="173">
        <v>25</v>
      </c>
      <c r="H217" s="173">
        <v>17</v>
      </c>
      <c r="I217" s="79"/>
      <c r="J217" s="79">
        <f t="shared" si="55"/>
        <v>42</v>
      </c>
      <c r="K217" s="79">
        <f t="shared" si="61"/>
        <v>4.2</v>
      </c>
      <c r="L217" s="101">
        <f t="shared" si="56"/>
        <v>46</v>
      </c>
      <c r="M217" s="176" t="s">
        <v>709</v>
      </c>
      <c r="N217" s="57">
        <f>+R217/L217*G217</f>
        <v>0</v>
      </c>
      <c r="O217" s="57">
        <f>+R217/L217*H217</f>
        <v>0</v>
      </c>
      <c r="P217" s="57">
        <f>+R217/L217*I217</f>
        <v>0</v>
      </c>
      <c r="Q217" s="57">
        <f t="shared" si="60"/>
        <v>0</v>
      </c>
      <c r="R217" s="102"/>
      <c r="S217" s="59"/>
    </row>
    <row r="218" ht="43.5" spans="1:19">
      <c r="A218" s="87" t="s">
        <v>710</v>
      </c>
      <c r="B218" s="70" t="s">
        <v>711</v>
      </c>
      <c r="C218" s="70" t="s">
        <v>712</v>
      </c>
      <c r="D218" s="69"/>
      <c r="E218" s="63" t="s">
        <v>708</v>
      </c>
      <c r="F218" s="69" t="s">
        <v>531</v>
      </c>
      <c r="G218" s="173">
        <v>42</v>
      </c>
      <c r="H218" s="173">
        <v>25</v>
      </c>
      <c r="I218" s="173"/>
      <c r="J218" s="79">
        <f t="shared" si="55"/>
        <v>67</v>
      </c>
      <c r="K218" s="79">
        <f t="shared" si="61"/>
        <v>6.7</v>
      </c>
      <c r="L218" s="101">
        <f t="shared" si="56"/>
        <v>74</v>
      </c>
      <c r="M218" s="176" t="s">
        <v>709</v>
      </c>
      <c r="N218" s="57">
        <f>+R218/L218*G218</f>
        <v>0</v>
      </c>
      <c r="O218" s="57">
        <f>+R218/L218*H218</f>
        <v>0</v>
      </c>
      <c r="P218" s="57">
        <f>+R218/L218*I218</f>
        <v>0</v>
      </c>
      <c r="Q218" s="57">
        <f t="shared" si="60"/>
        <v>0</v>
      </c>
      <c r="R218" s="102"/>
      <c r="S218" s="59"/>
    </row>
    <row r="219" ht="43.5" spans="1:19">
      <c r="A219" s="87" t="s">
        <v>713</v>
      </c>
      <c r="B219" s="70" t="s">
        <v>714</v>
      </c>
      <c r="C219" s="70" t="s">
        <v>707</v>
      </c>
      <c r="D219" s="69"/>
      <c r="E219" s="63" t="s">
        <v>708</v>
      </c>
      <c r="F219" s="69" t="s">
        <v>531</v>
      </c>
      <c r="G219" s="173">
        <v>50</v>
      </c>
      <c r="H219" s="173">
        <v>50</v>
      </c>
      <c r="I219" s="173"/>
      <c r="J219" s="79">
        <f t="shared" si="55"/>
        <v>100</v>
      </c>
      <c r="K219" s="79">
        <f t="shared" si="61"/>
        <v>10</v>
      </c>
      <c r="L219" s="101">
        <f t="shared" si="56"/>
        <v>110</v>
      </c>
      <c r="M219" s="176" t="s">
        <v>709</v>
      </c>
      <c r="N219" s="57">
        <f>+R219/L219*G219</f>
        <v>0</v>
      </c>
      <c r="O219" s="57">
        <f>+R219/L219*H219</f>
        <v>0</v>
      </c>
      <c r="P219" s="57">
        <f>+R219/L219*I219</f>
        <v>0</v>
      </c>
      <c r="Q219" s="57">
        <f t="shared" si="60"/>
        <v>0</v>
      </c>
      <c r="R219" s="58"/>
      <c r="S219" s="59"/>
    </row>
    <row r="220" ht="43.5" spans="1:19">
      <c r="A220" s="87" t="s">
        <v>715</v>
      </c>
      <c r="B220" s="70" t="s">
        <v>716</v>
      </c>
      <c r="C220" s="70" t="s">
        <v>712</v>
      </c>
      <c r="D220" s="69"/>
      <c r="E220" s="63" t="s">
        <v>708</v>
      </c>
      <c r="F220" s="69" t="s">
        <v>531</v>
      </c>
      <c r="G220" s="173">
        <v>70</v>
      </c>
      <c r="H220" s="173">
        <v>55</v>
      </c>
      <c r="I220" s="173"/>
      <c r="J220" s="79">
        <f t="shared" si="55"/>
        <v>125</v>
      </c>
      <c r="K220" s="79">
        <f t="shared" si="61"/>
        <v>12.5</v>
      </c>
      <c r="L220" s="101">
        <f t="shared" si="56"/>
        <v>138</v>
      </c>
      <c r="M220" s="176" t="s">
        <v>709</v>
      </c>
      <c r="N220" s="57">
        <f>+R220/L220*G220</f>
        <v>0</v>
      </c>
      <c r="O220" s="57">
        <f>+R220/L220*H220</f>
        <v>0</v>
      </c>
      <c r="P220" s="57">
        <f>+R220/L220*I220</f>
        <v>0</v>
      </c>
      <c r="Q220" s="57">
        <f t="shared" si="60"/>
        <v>0</v>
      </c>
      <c r="R220" s="58"/>
      <c r="S220" s="59"/>
    </row>
    <row r="221" ht="43.5" spans="1:19">
      <c r="A221" s="87" t="s">
        <v>717</v>
      </c>
      <c r="B221" s="63" t="s">
        <v>718</v>
      </c>
      <c r="C221" s="63" t="s">
        <v>719</v>
      </c>
      <c r="D221" s="69"/>
      <c r="E221" s="63" t="s">
        <v>720</v>
      </c>
      <c r="F221" s="69" t="s">
        <v>531</v>
      </c>
      <c r="G221" s="173">
        <v>165.088</v>
      </c>
      <c r="H221" s="173">
        <v>154.770525</v>
      </c>
      <c r="I221" s="173">
        <v>15</v>
      </c>
      <c r="J221" s="79">
        <f t="shared" si="55"/>
        <v>334.858525</v>
      </c>
      <c r="K221" s="79">
        <f t="shared" si="61"/>
        <v>33.4858525</v>
      </c>
      <c r="L221" s="101">
        <f t="shared" si="56"/>
        <v>368</v>
      </c>
      <c r="M221" s="176" t="s">
        <v>709</v>
      </c>
      <c r="N221" s="57">
        <f>+R221/L221*G221</f>
        <v>0</v>
      </c>
      <c r="O221" s="57">
        <f>+R221/L221*H221</f>
        <v>0</v>
      </c>
      <c r="P221" s="57">
        <f>+R221/L221*I221</f>
        <v>0</v>
      </c>
      <c r="Q221" s="57">
        <f t="shared" si="60"/>
        <v>0</v>
      </c>
      <c r="R221" s="102"/>
      <c r="S221" s="59"/>
    </row>
    <row r="222" ht="14.5" spans="1:19">
      <c r="A222" s="177"/>
      <c r="B222" s="178" t="s">
        <v>721</v>
      </c>
      <c r="C222" s="178"/>
      <c r="D222" s="179"/>
      <c r="E222" s="179"/>
      <c r="F222" s="180"/>
      <c r="G222" s="173"/>
      <c r="H222" s="173"/>
      <c r="I222" s="173"/>
      <c r="J222" s="173"/>
      <c r="K222" s="79">
        <f t="shared" si="61"/>
        <v>0</v>
      </c>
      <c r="L222" s="101"/>
      <c r="M222" s="181"/>
      <c r="N222" s="57"/>
      <c r="O222" s="57"/>
      <c r="P222" s="57"/>
      <c r="Q222" s="57"/>
      <c r="R222" s="58"/>
      <c r="S222" s="59"/>
    </row>
    <row r="223" ht="39" spans="1:19">
      <c r="A223" s="182" t="s">
        <v>722</v>
      </c>
      <c r="B223" s="183" t="s">
        <v>723</v>
      </c>
      <c r="C223" s="183" t="s">
        <v>724</v>
      </c>
      <c r="D223" s="183"/>
      <c r="E223" s="183" t="s">
        <v>725</v>
      </c>
      <c r="F223" s="184" t="s">
        <v>47</v>
      </c>
      <c r="G223" s="173">
        <v>99.008</v>
      </c>
      <c r="H223" s="173">
        <v>123.98925</v>
      </c>
      <c r="I223" s="173">
        <v>15</v>
      </c>
      <c r="J223" s="79">
        <f>G223+H223+I223</f>
        <v>237.99725</v>
      </c>
      <c r="K223" s="79">
        <f t="shared" si="61"/>
        <v>23.799725</v>
      </c>
      <c r="L223" s="101">
        <f>ROUND((J223+K223),0)</f>
        <v>262</v>
      </c>
      <c r="M223" s="181"/>
      <c r="N223" s="185"/>
      <c r="O223" s="185"/>
      <c r="P223" s="185"/>
      <c r="Q223" s="185"/>
      <c r="R223" s="102"/>
      <c r="S223" s="59" t="s">
        <v>726</v>
      </c>
    </row>
    <row r="224" ht="39" spans="1:19">
      <c r="A224" s="182" t="s">
        <v>727</v>
      </c>
      <c r="B224" s="183" t="s">
        <v>728</v>
      </c>
      <c r="C224" s="183" t="s">
        <v>724</v>
      </c>
      <c r="D224" s="183"/>
      <c r="E224" s="183" t="s">
        <v>725</v>
      </c>
      <c r="F224" s="184" t="s">
        <v>47</v>
      </c>
      <c r="G224" s="173">
        <v>99.008</v>
      </c>
      <c r="H224" s="173">
        <v>172.72794</v>
      </c>
      <c r="I224" s="173">
        <v>15</v>
      </c>
      <c r="J224" s="79">
        <f>G224+H224+I224</f>
        <v>286.73594</v>
      </c>
      <c r="K224" s="79">
        <f t="shared" si="61"/>
        <v>28.673594</v>
      </c>
      <c r="L224" s="101">
        <f>ROUND((J224+K224),0)</f>
        <v>315</v>
      </c>
      <c r="M224" s="181"/>
      <c r="N224" s="186"/>
      <c r="O224" s="186"/>
      <c r="P224" s="186"/>
      <c r="Q224" s="186"/>
      <c r="R224" s="102"/>
      <c r="S224" s="59" t="s">
        <v>726</v>
      </c>
    </row>
    <row r="225" ht="39" spans="1:19">
      <c r="A225" s="182" t="s">
        <v>729</v>
      </c>
      <c r="B225" s="183" t="s">
        <v>730</v>
      </c>
      <c r="C225" s="183" t="s">
        <v>724</v>
      </c>
      <c r="D225" s="183"/>
      <c r="E225" s="183" t="s">
        <v>725</v>
      </c>
      <c r="F225" s="184" t="s">
        <v>47</v>
      </c>
      <c r="G225" s="173">
        <v>99.2</v>
      </c>
      <c r="H225" s="173">
        <v>286.450164</v>
      </c>
      <c r="I225" s="173">
        <v>15</v>
      </c>
      <c r="J225" s="79">
        <f>G225+H225+I225</f>
        <v>400.650164</v>
      </c>
      <c r="K225" s="79">
        <f t="shared" si="61"/>
        <v>40.0650164</v>
      </c>
      <c r="L225" s="101">
        <f>ROUND((J225+K225),0)</f>
        <v>441</v>
      </c>
      <c r="M225" s="181"/>
      <c r="N225" s="186"/>
      <c r="O225" s="186"/>
      <c r="P225" s="186"/>
      <c r="Q225" s="186"/>
      <c r="R225" s="102"/>
      <c r="S225" s="59" t="s">
        <v>726</v>
      </c>
    </row>
    <row r="226" s="14" customFormat="1" ht="25.5" customHeight="1" spans="1:19">
      <c r="A226" s="80" t="s">
        <v>731</v>
      </c>
      <c r="B226" s="81"/>
      <c r="C226" s="82"/>
      <c r="D226" s="187"/>
      <c r="E226" s="187"/>
      <c r="F226" s="187"/>
      <c r="G226" s="188"/>
      <c r="H226" s="188"/>
      <c r="I226" s="188"/>
      <c r="J226" s="188"/>
      <c r="K226" s="79">
        <f t="shared" si="61"/>
        <v>0</v>
      </c>
      <c r="L226" s="188"/>
      <c r="M226" s="189"/>
      <c r="N226" s="190"/>
      <c r="O226" s="190"/>
      <c r="P226" s="190"/>
      <c r="Q226" s="190"/>
      <c r="R226" s="135"/>
      <c r="S226" s="86"/>
    </row>
    <row r="227" ht="43.5" customHeight="1" spans="1:19">
      <c r="A227" s="87" t="s">
        <v>732</v>
      </c>
      <c r="B227" s="63" t="s">
        <v>733</v>
      </c>
      <c r="C227" s="63"/>
      <c r="D227" s="63"/>
      <c r="E227" s="69" t="s">
        <v>734</v>
      </c>
      <c r="F227" s="55" t="s">
        <v>735</v>
      </c>
      <c r="G227" s="173"/>
      <c r="H227" s="173">
        <f>20/1.2</f>
        <v>16.6666666666667</v>
      </c>
      <c r="I227" s="173"/>
      <c r="J227" s="79">
        <f>G227+H227+I227</f>
        <v>16.6666666666667</v>
      </c>
      <c r="K227" s="79">
        <f t="shared" si="61"/>
        <v>1.66666666666667</v>
      </c>
      <c r="L227" s="101">
        <f>ROUND((J227+K227),0)</f>
        <v>18</v>
      </c>
      <c r="M227" s="181"/>
      <c r="N227" s="57"/>
      <c r="O227" s="57"/>
      <c r="P227" s="57"/>
      <c r="Q227" s="57"/>
      <c r="R227" s="58">
        <v>18</v>
      </c>
      <c r="S227" s="59"/>
    </row>
    <row r="228" ht="43.5" customHeight="1" spans="1:19">
      <c r="A228" s="87" t="s">
        <v>736</v>
      </c>
      <c r="B228" s="63" t="s">
        <v>737</v>
      </c>
      <c r="C228" s="63"/>
      <c r="D228" s="63"/>
      <c r="E228" s="69"/>
      <c r="F228" s="55" t="s">
        <v>24</v>
      </c>
      <c r="G228" s="173"/>
      <c r="H228" s="173">
        <f>11/1.2</f>
        <v>9.16666666666667</v>
      </c>
      <c r="I228" s="173"/>
      <c r="J228" s="79">
        <f>G228+H228+I228</f>
        <v>9.16666666666667</v>
      </c>
      <c r="K228" s="79">
        <f t="shared" si="61"/>
        <v>0.916666666666667</v>
      </c>
      <c r="L228" s="101">
        <f>ROUND((J228+K228),0)</f>
        <v>10</v>
      </c>
      <c r="M228" s="181"/>
      <c r="N228" s="57"/>
      <c r="O228" s="57"/>
      <c r="P228" s="57"/>
      <c r="Q228" s="57"/>
      <c r="R228" s="58">
        <v>10</v>
      </c>
      <c r="S228" s="59"/>
    </row>
    <row r="229" ht="115.5" customHeight="1" spans="1:19">
      <c r="A229" s="87" t="s">
        <v>738</v>
      </c>
      <c r="B229" s="70" t="s">
        <v>739</v>
      </c>
      <c r="C229" s="63"/>
      <c r="D229" s="63"/>
      <c r="E229" s="69"/>
      <c r="F229" s="55" t="s">
        <v>24</v>
      </c>
      <c r="G229" s="173"/>
      <c r="H229" s="173"/>
      <c r="I229" s="173"/>
      <c r="J229" s="173"/>
      <c r="K229" s="79">
        <f t="shared" si="61"/>
        <v>0</v>
      </c>
      <c r="L229" s="191" t="s">
        <v>740</v>
      </c>
      <c r="M229" s="181"/>
      <c r="N229" s="186"/>
      <c r="O229" s="186"/>
      <c r="P229" s="186"/>
      <c r="Q229" s="186"/>
      <c r="R229" s="192" t="s">
        <v>741</v>
      </c>
      <c r="S229" s="59"/>
    </row>
    <row r="230" s="15" customFormat="1" ht="43.5" customHeight="1" spans="1:19">
      <c r="A230" s="90" t="s">
        <v>742</v>
      </c>
      <c r="B230" s="91" t="s">
        <v>739</v>
      </c>
      <c r="C230" s="115" t="s">
        <v>743</v>
      </c>
      <c r="D230" s="115"/>
      <c r="E230" s="69"/>
      <c r="F230" s="95" t="s">
        <v>24</v>
      </c>
      <c r="G230" s="193"/>
      <c r="H230" s="193">
        <f>25/1.2</f>
        <v>20.8333333333333</v>
      </c>
      <c r="I230" s="193"/>
      <c r="J230" s="117">
        <f>G230+H230+I230</f>
        <v>20.8333333333333</v>
      </c>
      <c r="K230" s="79">
        <f t="shared" si="61"/>
        <v>2.08333333333333</v>
      </c>
      <c r="L230" s="118">
        <f>ROUND((J230+K230),0)</f>
        <v>23</v>
      </c>
      <c r="M230" s="194"/>
      <c r="N230" s="57"/>
      <c r="O230" s="57"/>
      <c r="P230" s="57"/>
      <c r="Q230" s="57"/>
      <c r="R230" s="58">
        <v>18</v>
      </c>
      <c r="S230" s="98"/>
    </row>
    <row r="231" s="15" customFormat="1" ht="43.5" customHeight="1" spans="1:19">
      <c r="A231" s="90" t="s">
        <v>744</v>
      </c>
      <c r="B231" s="91" t="s">
        <v>739</v>
      </c>
      <c r="C231" s="115" t="s">
        <v>745</v>
      </c>
      <c r="D231" s="115"/>
      <c r="E231" s="69"/>
      <c r="F231" s="95" t="s">
        <v>24</v>
      </c>
      <c r="G231" s="193"/>
      <c r="H231" s="193">
        <f>20/1.2</f>
        <v>16.6666666666667</v>
      </c>
      <c r="I231" s="193"/>
      <c r="J231" s="117">
        <f>G231+H231+I231</f>
        <v>16.6666666666667</v>
      </c>
      <c r="K231" s="79">
        <f t="shared" si="61"/>
        <v>1.66666666666667</v>
      </c>
      <c r="L231" s="118">
        <f>ROUND((J231+K231),0)</f>
        <v>18</v>
      </c>
      <c r="M231" s="194"/>
      <c r="N231" s="57"/>
      <c r="O231" s="57"/>
      <c r="P231" s="57"/>
      <c r="Q231" s="57"/>
      <c r="R231" s="58">
        <v>14</v>
      </c>
      <c r="S231" s="98"/>
    </row>
    <row r="232" ht="52" spans="1:19">
      <c r="A232" s="87" t="s">
        <v>746</v>
      </c>
      <c r="B232" s="70" t="s">
        <v>747</v>
      </c>
      <c r="C232" s="63"/>
      <c r="D232" s="63"/>
      <c r="E232" s="63" t="s">
        <v>748</v>
      </c>
      <c r="F232" s="55" t="s">
        <v>24</v>
      </c>
      <c r="G232" s="173"/>
      <c r="H232" s="173">
        <f>7/1.2</f>
        <v>5.83333333333333</v>
      </c>
      <c r="I232" s="173"/>
      <c r="J232" s="79">
        <f>G232+H232+I232</f>
        <v>5.83333333333333</v>
      </c>
      <c r="K232" s="79">
        <f t="shared" si="61"/>
        <v>0.583333333333333</v>
      </c>
      <c r="L232" s="101">
        <f>ROUND((J232+K232),0)</f>
        <v>6</v>
      </c>
      <c r="M232" s="195" t="s">
        <v>749</v>
      </c>
      <c r="N232" s="57"/>
      <c r="O232" s="57"/>
      <c r="P232" s="57"/>
      <c r="Q232" s="57"/>
      <c r="R232" s="58">
        <v>4</v>
      </c>
      <c r="S232" s="59"/>
    </row>
    <row r="233" s="14" customFormat="1" ht="22.5" customHeight="1" spans="1:19">
      <c r="A233" s="196" t="s">
        <v>750</v>
      </c>
      <c r="B233" s="197"/>
      <c r="C233" s="198"/>
      <c r="D233" s="199"/>
      <c r="E233" s="199"/>
      <c r="F233" s="199"/>
      <c r="G233" s="199"/>
      <c r="H233" s="199"/>
      <c r="I233" s="199"/>
      <c r="J233" s="199"/>
      <c r="K233" s="199"/>
      <c r="L233" s="199"/>
      <c r="M233" s="200"/>
      <c r="N233" s="201"/>
      <c r="O233" s="201"/>
      <c r="P233" s="201"/>
      <c r="Q233" s="201"/>
      <c r="R233" s="202"/>
      <c r="S233" s="86"/>
    </row>
    <row r="234" ht="14.5" spans="1:19">
      <c r="A234" s="87"/>
      <c r="B234" s="203" t="s">
        <v>751</v>
      </c>
      <c r="C234" s="63"/>
      <c r="D234" s="63"/>
      <c r="E234" s="63"/>
      <c r="F234" s="55"/>
      <c r="G234" s="173"/>
      <c r="H234" s="173"/>
      <c r="I234" s="173"/>
      <c r="J234" s="173"/>
      <c r="K234" s="173"/>
      <c r="L234" s="101"/>
      <c r="M234" s="195"/>
      <c r="N234" s="57"/>
      <c r="O234" s="57"/>
      <c r="P234" s="57"/>
      <c r="Q234" s="57"/>
      <c r="R234" s="58"/>
      <c r="S234" s="59"/>
    </row>
    <row r="235" ht="43.5" spans="1:19">
      <c r="A235" s="87" t="s">
        <v>752</v>
      </c>
      <c r="B235" s="70" t="s">
        <v>753</v>
      </c>
      <c r="C235" s="63"/>
      <c r="D235" s="63"/>
      <c r="E235" s="63" t="s">
        <v>754</v>
      </c>
      <c r="F235" s="55" t="s">
        <v>24</v>
      </c>
      <c r="G235" s="173">
        <v>19.77</v>
      </c>
      <c r="H235" s="173"/>
      <c r="I235" s="173"/>
      <c r="J235" s="79">
        <f>G235+H235+I235</f>
        <v>19.77</v>
      </c>
      <c r="K235" s="79">
        <f>J235*0.1</f>
        <v>1.977</v>
      </c>
      <c r="L235" s="101">
        <f>ROUND((J235+K235),0)</f>
        <v>22</v>
      </c>
      <c r="M235" s="195"/>
      <c r="N235" s="57"/>
      <c r="O235" s="57"/>
      <c r="P235" s="57"/>
      <c r="Q235" s="57"/>
      <c r="R235" s="58"/>
      <c r="S235" s="59"/>
    </row>
    <row r="236" ht="29" spans="1:19">
      <c r="A236" s="87" t="s">
        <v>755</v>
      </c>
      <c r="B236" s="70" t="s">
        <v>756</v>
      </c>
      <c r="C236" s="63"/>
      <c r="D236" s="63"/>
      <c r="E236" s="63" t="s">
        <v>757</v>
      </c>
      <c r="F236" s="55" t="s">
        <v>24</v>
      </c>
      <c r="G236" s="173">
        <v>9.25</v>
      </c>
      <c r="H236" s="173"/>
      <c r="I236" s="173"/>
      <c r="J236" s="79">
        <f>G236+H236+I236</f>
        <v>9.25</v>
      </c>
      <c r="K236" s="79">
        <f t="shared" ref="K236:K258" si="62">J236*0.1</f>
        <v>0.925</v>
      </c>
      <c r="L236" s="101">
        <f>ROUND((J236+K236),0)</f>
        <v>10</v>
      </c>
      <c r="M236" s="195"/>
      <c r="N236" s="57"/>
      <c r="O236" s="57"/>
      <c r="P236" s="57"/>
      <c r="Q236" s="57"/>
      <c r="R236" s="58"/>
      <c r="S236" s="59"/>
    </row>
    <row r="237" ht="14.5" spans="1:19">
      <c r="A237" s="87" t="s">
        <v>758</v>
      </c>
      <c r="B237" s="70" t="s">
        <v>759</v>
      </c>
      <c r="C237" s="63"/>
      <c r="D237" s="63"/>
      <c r="E237" s="63" t="s">
        <v>760</v>
      </c>
      <c r="F237" s="55" t="s">
        <v>24</v>
      </c>
      <c r="G237" s="173">
        <v>6.19</v>
      </c>
      <c r="H237" s="173"/>
      <c r="I237" s="173"/>
      <c r="J237" s="79">
        <f>G237+H237+I237</f>
        <v>6.19</v>
      </c>
      <c r="K237" s="79">
        <f t="shared" si="62"/>
        <v>0.619</v>
      </c>
      <c r="L237" s="101">
        <f>ROUND((J237+K237),0)</f>
        <v>7</v>
      </c>
      <c r="M237" s="195"/>
      <c r="N237" s="57"/>
      <c r="O237" s="57"/>
      <c r="P237" s="57"/>
      <c r="Q237" s="57"/>
      <c r="R237" s="58"/>
      <c r="S237" s="59"/>
    </row>
    <row r="238" ht="14.5" spans="1:19">
      <c r="A238" s="87" t="s">
        <v>761</v>
      </c>
      <c r="B238" s="70" t="s">
        <v>762</v>
      </c>
      <c r="C238" s="63"/>
      <c r="D238" s="63"/>
      <c r="E238" s="63" t="s">
        <v>763</v>
      </c>
      <c r="F238" s="55" t="s">
        <v>47</v>
      </c>
      <c r="G238" s="173">
        <v>1.01</v>
      </c>
      <c r="H238" s="173"/>
      <c r="I238" s="173"/>
      <c r="J238" s="79">
        <f>G238+H238+I238</f>
        <v>1.01</v>
      </c>
      <c r="K238" s="79">
        <f t="shared" si="62"/>
        <v>0.101</v>
      </c>
      <c r="L238" s="101">
        <f>ROUND((J238+K238),0)</f>
        <v>1</v>
      </c>
      <c r="M238" s="195"/>
      <c r="N238" s="57"/>
      <c r="O238" s="57"/>
      <c r="P238" s="57"/>
      <c r="Q238" s="57"/>
      <c r="R238" s="58"/>
      <c r="S238" s="59"/>
    </row>
    <row r="239" ht="14.5" spans="1:19">
      <c r="A239" s="87"/>
      <c r="B239" s="203" t="s">
        <v>764</v>
      </c>
      <c r="C239" s="63"/>
      <c r="D239" s="63"/>
      <c r="E239" s="63"/>
      <c r="F239" s="55"/>
      <c r="G239" s="173"/>
      <c r="H239" s="173"/>
      <c r="I239" s="173"/>
      <c r="J239" s="173"/>
      <c r="K239" s="79">
        <f t="shared" si="62"/>
        <v>0</v>
      </c>
      <c r="L239" s="101"/>
      <c r="M239" s="195"/>
      <c r="N239" s="57"/>
      <c r="O239" s="57"/>
      <c r="P239" s="57"/>
      <c r="Q239" s="57"/>
      <c r="R239" s="58"/>
      <c r="S239" s="59"/>
    </row>
    <row r="240" ht="29" spans="1:19">
      <c r="A240" s="87" t="s">
        <v>765</v>
      </c>
      <c r="B240" s="70" t="s">
        <v>766</v>
      </c>
      <c r="C240" s="63"/>
      <c r="D240" s="63"/>
      <c r="E240" s="63" t="s">
        <v>767</v>
      </c>
      <c r="F240" s="55" t="s">
        <v>24</v>
      </c>
      <c r="G240" s="173">
        <v>5.92</v>
      </c>
      <c r="H240" s="173"/>
      <c r="I240" s="173"/>
      <c r="J240" s="79">
        <f>G240+H240+I240</f>
        <v>5.92</v>
      </c>
      <c r="K240" s="79">
        <f t="shared" si="62"/>
        <v>0.592</v>
      </c>
      <c r="L240" s="101">
        <f>ROUND((J240+K240),0)</f>
        <v>7</v>
      </c>
      <c r="M240" s="195"/>
      <c r="N240" s="57"/>
      <c r="O240" s="57"/>
      <c r="P240" s="57"/>
      <c r="Q240" s="57"/>
      <c r="R240" s="58"/>
      <c r="S240" s="59"/>
    </row>
    <row r="241" ht="14.5" spans="1:19">
      <c r="A241" s="87" t="s">
        <v>768</v>
      </c>
      <c r="B241" s="70" t="s">
        <v>769</v>
      </c>
      <c r="C241" s="63"/>
      <c r="D241" s="63"/>
      <c r="E241" s="63" t="s">
        <v>770</v>
      </c>
      <c r="F241" s="55" t="s">
        <v>24</v>
      </c>
      <c r="G241" s="173">
        <v>4.72</v>
      </c>
      <c r="H241" s="173"/>
      <c r="I241" s="173"/>
      <c r="J241" s="79">
        <f>G241+H241+I241</f>
        <v>4.72</v>
      </c>
      <c r="K241" s="79">
        <f t="shared" si="62"/>
        <v>0.472</v>
      </c>
      <c r="L241" s="101">
        <f>ROUND((J241+K241),0)</f>
        <v>5</v>
      </c>
      <c r="M241" s="195"/>
      <c r="N241" s="57"/>
      <c r="O241" s="57"/>
      <c r="P241" s="57"/>
      <c r="Q241" s="57"/>
      <c r="R241" s="58"/>
      <c r="S241" s="59"/>
    </row>
    <row r="242" ht="29" spans="1:19">
      <c r="A242" s="87" t="s">
        <v>771</v>
      </c>
      <c r="B242" s="70" t="s">
        <v>772</v>
      </c>
      <c r="C242" s="63"/>
      <c r="D242" s="63"/>
      <c r="E242" s="63" t="s">
        <v>773</v>
      </c>
      <c r="F242" s="55" t="s">
        <v>24</v>
      </c>
      <c r="G242" s="173">
        <v>14.55</v>
      </c>
      <c r="H242" s="173"/>
      <c r="I242" s="173"/>
      <c r="J242" s="79">
        <f>G242+H242+I242</f>
        <v>14.55</v>
      </c>
      <c r="K242" s="79">
        <f t="shared" si="62"/>
        <v>1.455</v>
      </c>
      <c r="L242" s="101">
        <f>ROUND((J242+K242),0)</f>
        <v>16</v>
      </c>
      <c r="M242" s="195"/>
      <c r="N242" s="57"/>
      <c r="O242" s="57"/>
      <c r="P242" s="57"/>
      <c r="Q242" s="57"/>
      <c r="R242" s="58"/>
      <c r="S242" s="59"/>
    </row>
    <row r="243" ht="29" spans="1:19">
      <c r="A243" s="87" t="s">
        <v>774</v>
      </c>
      <c r="B243" s="70" t="s">
        <v>775</v>
      </c>
      <c r="C243" s="63"/>
      <c r="D243" s="63"/>
      <c r="E243" s="63" t="s">
        <v>773</v>
      </c>
      <c r="F243" s="55" t="s">
        <v>24</v>
      </c>
      <c r="G243" s="173">
        <v>16.73</v>
      </c>
      <c r="H243" s="173"/>
      <c r="I243" s="173"/>
      <c r="J243" s="79">
        <f>G243+H243+I243</f>
        <v>16.73</v>
      </c>
      <c r="K243" s="79">
        <f t="shared" si="62"/>
        <v>1.673</v>
      </c>
      <c r="L243" s="101">
        <f>ROUND((J243+K243),0)</f>
        <v>18</v>
      </c>
      <c r="M243" s="195"/>
      <c r="N243" s="57"/>
      <c r="O243" s="57"/>
      <c r="P243" s="57"/>
      <c r="Q243" s="57"/>
      <c r="R243" s="58"/>
      <c r="S243" s="59"/>
    </row>
    <row r="244" ht="43.5" spans="1:19">
      <c r="A244" s="87" t="s">
        <v>776</v>
      </c>
      <c r="B244" s="70" t="s">
        <v>777</v>
      </c>
      <c r="C244" s="63"/>
      <c r="D244" s="63"/>
      <c r="E244" s="63" t="s">
        <v>778</v>
      </c>
      <c r="F244" s="55" t="s">
        <v>24</v>
      </c>
      <c r="G244" s="173">
        <v>20.11</v>
      </c>
      <c r="H244" s="173"/>
      <c r="I244" s="173"/>
      <c r="J244" s="79">
        <f>G244+H244+I244</f>
        <v>20.11</v>
      </c>
      <c r="K244" s="79">
        <f t="shared" si="62"/>
        <v>2.011</v>
      </c>
      <c r="L244" s="101">
        <f>ROUND((J244+K244),0)</f>
        <v>22</v>
      </c>
      <c r="M244" s="195"/>
      <c r="N244" s="57"/>
      <c r="O244" s="57"/>
      <c r="P244" s="57"/>
      <c r="Q244" s="57"/>
      <c r="R244" s="58"/>
      <c r="S244" s="59"/>
    </row>
    <row r="245" ht="14.5" spans="1:19">
      <c r="A245" s="87"/>
      <c r="B245" s="203" t="s">
        <v>779</v>
      </c>
      <c r="C245" s="63"/>
      <c r="D245" s="63"/>
      <c r="E245" s="63"/>
      <c r="F245" s="55"/>
      <c r="G245" s="173"/>
      <c r="H245" s="173"/>
      <c r="I245" s="173"/>
      <c r="J245" s="173"/>
      <c r="K245" s="79">
        <f t="shared" si="62"/>
        <v>0</v>
      </c>
      <c r="L245" s="101"/>
      <c r="M245" s="195"/>
      <c r="N245" s="57"/>
      <c r="O245" s="57"/>
      <c r="P245" s="57"/>
      <c r="Q245" s="57"/>
      <c r="R245" s="58"/>
      <c r="S245" s="59"/>
    </row>
    <row r="246" ht="29" spans="1:19">
      <c r="A246" s="87" t="s">
        <v>780</v>
      </c>
      <c r="B246" s="70" t="s">
        <v>781</v>
      </c>
      <c r="C246" s="63"/>
      <c r="D246" s="63"/>
      <c r="E246" s="63" t="s">
        <v>782</v>
      </c>
      <c r="F246" s="55" t="s">
        <v>47</v>
      </c>
      <c r="G246" s="173">
        <v>0.5</v>
      </c>
      <c r="H246" s="173"/>
      <c r="I246" s="173"/>
      <c r="J246" s="79">
        <f t="shared" ref="J246:J251" si="63">G246+H246+I246</f>
        <v>0.5</v>
      </c>
      <c r="K246" s="79">
        <f t="shared" si="62"/>
        <v>0.05</v>
      </c>
      <c r="L246" s="101">
        <f t="shared" ref="L246:L251" si="64">ROUND((J246+K246),0)</f>
        <v>1</v>
      </c>
      <c r="M246" s="195"/>
      <c r="N246" s="57"/>
      <c r="O246" s="57"/>
      <c r="P246" s="57"/>
      <c r="Q246" s="57"/>
      <c r="R246" s="58"/>
      <c r="S246" s="59"/>
    </row>
    <row r="247" ht="29" spans="1:19">
      <c r="A247" s="87" t="s">
        <v>783</v>
      </c>
      <c r="B247" s="70" t="s">
        <v>784</v>
      </c>
      <c r="C247" s="63"/>
      <c r="D247" s="63"/>
      <c r="E247" s="63" t="s">
        <v>763</v>
      </c>
      <c r="F247" s="55" t="s">
        <v>47</v>
      </c>
      <c r="G247" s="173">
        <v>5.87</v>
      </c>
      <c r="H247" s="173"/>
      <c r="I247" s="173"/>
      <c r="J247" s="79">
        <f t="shared" si="63"/>
        <v>5.87</v>
      </c>
      <c r="K247" s="79">
        <f t="shared" si="62"/>
        <v>0.587</v>
      </c>
      <c r="L247" s="101">
        <f t="shared" si="64"/>
        <v>6</v>
      </c>
      <c r="M247" s="195"/>
      <c r="N247" s="57"/>
      <c r="O247" s="57"/>
      <c r="P247" s="57"/>
      <c r="Q247" s="57"/>
      <c r="R247" s="58"/>
      <c r="S247" s="59"/>
    </row>
    <row r="248" ht="72.5" spans="1:19">
      <c r="A248" s="87" t="s">
        <v>785</v>
      </c>
      <c r="B248" s="70" t="s">
        <v>786</v>
      </c>
      <c r="C248" s="63"/>
      <c r="D248" s="63"/>
      <c r="E248" s="63" t="s">
        <v>787</v>
      </c>
      <c r="F248" s="55" t="s">
        <v>24</v>
      </c>
      <c r="G248" s="173">
        <v>9.49</v>
      </c>
      <c r="H248" s="173"/>
      <c r="I248" s="173"/>
      <c r="J248" s="79">
        <f t="shared" si="63"/>
        <v>9.49</v>
      </c>
      <c r="K248" s="79">
        <f t="shared" si="62"/>
        <v>0.949</v>
      </c>
      <c r="L248" s="101">
        <f t="shared" si="64"/>
        <v>10</v>
      </c>
      <c r="M248" s="195"/>
      <c r="N248" s="57"/>
      <c r="O248" s="57"/>
      <c r="P248" s="57"/>
      <c r="Q248" s="57"/>
      <c r="R248" s="58"/>
      <c r="S248" s="59"/>
    </row>
    <row r="249" ht="58" spans="1:19">
      <c r="A249" s="87" t="s">
        <v>788</v>
      </c>
      <c r="B249" s="70" t="s">
        <v>789</v>
      </c>
      <c r="C249" s="63"/>
      <c r="D249" s="63"/>
      <c r="E249" s="63" t="s">
        <v>790</v>
      </c>
      <c r="F249" s="55" t="s">
        <v>24</v>
      </c>
      <c r="G249" s="173">
        <v>17.11</v>
      </c>
      <c r="H249" s="173">
        <v>20.8</v>
      </c>
      <c r="I249" s="173">
        <v>0.94</v>
      </c>
      <c r="J249" s="79">
        <f t="shared" si="63"/>
        <v>38.85</v>
      </c>
      <c r="K249" s="79">
        <f t="shared" si="62"/>
        <v>3.885</v>
      </c>
      <c r="L249" s="101">
        <f t="shared" si="64"/>
        <v>43</v>
      </c>
      <c r="M249" s="195"/>
      <c r="N249" s="57"/>
      <c r="O249" s="57"/>
      <c r="P249" s="57"/>
      <c r="Q249" s="57"/>
      <c r="R249" s="58"/>
      <c r="S249" s="59"/>
    </row>
    <row r="250" ht="43.5" spans="1:19">
      <c r="A250" s="87" t="s">
        <v>791</v>
      </c>
      <c r="B250" s="70" t="s">
        <v>792</v>
      </c>
      <c r="C250" s="63"/>
      <c r="D250" s="63"/>
      <c r="E250" s="63" t="s">
        <v>793</v>
      </c>
      <c r="F250" s="55" t="s">
        <v>24</v>
      </c>
      <c r="G250" s="173">
        <v>50.34</v>
      </c>
      <c r="H250" s="173">
        <v>0</v>
      </c>
      <c r="I250" s="173">
        <v>0.5</v>
      </c>
      <c r="J250" s="79">
        <f t="shared" si="63"/>
        <v>50.84</v>
      </c>
      <c r="K250" s="79">
        <f t="shared" si="62"/>
        <v>5.084</v>
      </c>
      <c r="L250" s="101">
        <f t="shared" si="64"/>
        <v>56</v>
      </c>
      <c r="M250" s="195"/>
      <c r="N250" s="57"/>
      <c r="O250" s="57"/>
      <c r="P250" s="57"/>
      <c r="Q250" s="57"/>
      <c r="R250" s="58"/>
      <c r="S250" s="59"/>
    </row>
    <row r="251" ht="29" spans="1:19">
      <c r="A251" s="87" t="s">
        <v>794</v>
      </c>
      <c r="B251" s="70" t="s">
        <v>795</v>
      </c>
      <c r="C251" s="63"/>
      <c r="D251" s="63"/>
      <c r="E251" s="63" t="s">
        <v>796</v>
      </c>
      <c r="F251" s="55" t="s">
        <v>150</v>
      </c>
      <c r="G251" s="173">
        <v>3.4</v>
      </c>
      <c r="H251" s="173">
        <v>0</v>
      </c>
      <c r="I251" s="173">
        <v>0</v>
      </c>
      <c r="J251" s="79">
        <f t="shared" si="63"/>
        <v>3.4</v>
      </c>
      <c r="K251" s="79">
        <f t="shared" si="62"/>
        <v>0.34</v>
      </c>
      <c r="L251" s="101">
        <f t="shared" si="64"/>
        <v>4</v>
      </c>
      <c r="M251" s="195"/>
      <c r="N251" s="57"/>
      <c r="O251" s="57"/>
      <c r="P251" s="57"/>
      <c r="Q251" s="57"/>
      <c r="R251" s="58"/>
      <c r="S251" s="59"/>
    </row>
    <row r="252" ht="14.5" spans="1:19">
      <c r="A252" s="87"/>
      <c r="B252" s="203" t="s">
        <v>797</v>
      </c>
      <c r="C252" s="63"/>
      <c r="D252" s="63"/>
      <c r="E252" s="63"/>
      <c r="F252" s="55"/>
      <c r="G252" s="173"/>
      <c r="H252" s="173"/>
      <c r="I252" s="173"/>
      <c r="J252" s="173"/>
      <c r="K252" s="79">
        <f t="shared" si="62"/>
        <v>0</v>
      </c>
      <c r="L252" s="101"/>
      <c r="M252" s="195"/>
      <c r="N252" s="57"/>
      <c r="O252" s="57"/>
      <c r="P252" s="57"/>
      <c r="Q252" s="57"/>
      <c r="R252" s="58"/>
      <c r="S252" s="59"/>
    </row>
    <row r="253" ht="29" spans="1:19">
      <c r="A253" s="87" t="s">
        <v>798</v>
      </c>
      <c r="B253" s="70" t="s">
        <v>799</v>
      </c>
      <c r="C253" s="63"/>
      <c r="D253" s="63"/>
      <c r="E253" s="63" t="s">
        <v>800</v>
      </c>
      <c r="F253" s="55" t="s">
        <v>531</v>
      </c>
      <c r="G253" s="173">
        <f>33/1.2</f>
        <v>27.5</v>
      </c>
      <c r="H253" s="173"/>
      <c r="I253" s="173"/>
      <c r="J253" s="79">
        <f t="shared" ref="J253:J258" si="65">G253+H253+I253</f>
        <v>27.5</v>
      </c>
      <c r="K253" s="79">
        <f t="shared" si="62"/>
        <v>2.75</v>
      </c>
      <c r="L253" s="101">
        <f t="shared" ref="L253:L258" si="66">ROUND((J253+K253),0)</f>
        <v>30</v>
      </c>
      <c r="M253" s="195"/>
      <c r="N253" s="57"/>
      <c r="O253" s="57"/>
      <c r="P253" s="57"/>
      <c r="Q253" s="57"/>
      <c r="R253" s="58"/>
      <c r="S253" s="59"/>
    </row>
    <row r="254" ht="29" spans="1:19">
      <c r="A254" s="87" t="s">
        <v>801</v>
      </c>
      <c r="B254" s="70" t="s">
        <v>802</v>
      </c>
      <c r="C254" s="63"/>
      <c r="D254" s="63"/>
      <c r="E254" s="63" t="s">
        <v>803</v>
      </c>
      <c r="F254" s="55" t="s">
        <v>531</v>
      </c>
      <c r="G254" s="173">
        <f>29/1.2</f>
        <v>24.1666666666667</v>
      </c>
      <c r="H254" s="173"/>
      <c r="I254" s="173"/>
      <c r="J254" s="79">
        <f t="shared" si="65"/>
        <v>24.1666666666667</v>
      </c>
      <c r="K254" s="79">
        <f t="shared" si="62"/>
        <v>2.41666666666667</v>
      </c>
      <c r="L254" s="101">
        <f t="shared" si="66"/>
        <v>27</v>
      </c>
      <c r="M254" s="195"/>
      <c r="N254" s="57"/>
      <c r="O254" s="57"/>
      <c r="P254" s="57"/>
      <c r="Q254" s="57"/>
      <c r="R254" s="58"/>
      <c r="S254" s="59"/>
    </row>
    <row r="255" ht="29" spans="1:19">
      <c r="A255" s="87" t="s">
        <v>804</v>
      </c>
      <c r="B255" s="70" t="s">
        <v>805</v>
      </c>
      <c r="C255" s="63"/>
      <c r="D255" s="63"/>
      <c r="E255" s="63" t="s">
        <v>806</v>
      </c>
      <c r="F255" s="55" t="s">
        <v>531</v>
      </c>
      <c r="G255" s="173">
        <f>52/1.2</f>
        <v>43.3333333333333</v>
      </c>
      <c r="H255" s="173"/>
      <c r="I255" s="173"/>
      <c r="J255" s="79">
        <f t="shared" si="65"/>
        <v>43.3333333333333</v>
      </c>
      <c r="K255" s="79">
        <f t="shared" si="62"/>
        <v>4.33333333333333</v>
      </c>
      <c r="L255" s="101">
        <f t="shared" si="66"/>
        <v>48</v>
      </c>
      <c r="M255" s="195"/>
      <c r="N255" s="57"/>
      <c r="O255" s="57"/>
      <c r="P255" s="57"/>
      <c r="Q255" s="57"/>
      <c r="R255" s="58"/>
      <c r="S255" s="59"/>
    </row>
    <row r="256" ht="29" spans="1:19">
      <c r="A256" s="87" t="s">
        <v>807</v>
      </c>
      <c r="B256" s="70" t="s">
        <v>808</v>
      </c>
      <c r="C256" s="63"/>
      <c r="D256" s="63"/>
      <c r="E256" s="63" t="s">
        <v>809</v>
      </c>
      <c r="F256" s="55" t="s">
        <v>531</v>
      </c>
      <c r="G256" s="173">
        <f>12/1.2</f>
        <v>10</v>
      </c>
      <c r="H256" s="173"/>
      <c r="I256" s="173"/>
      <c r="J256" s="79">
        <f t="shared" si="65"/>
        <v>10</v>
      </c>
      <c r="K256" s="79">
        <f t="shared" si="62"/>
        <v>1</v>
      </c>
      <c r="L256" s="101">
        <f t="shared" si="66"/>
        <v>11</v>
      </c>
      <c r="M256" s="195"/>
      <c r="N256" s="57"/>
      <c r="O256" s="57"/>
      <c r="P256" s="57"/>
      <c r="Q256" s="57"/>
      <c r="R256" s="58"/>
      <c r="S256" s="59"/>
    </row>
    <row r="257" ht="29" spans="1:19">
      <c r="A257" s="87" t="s">
        <v>810</v>
      </c>
      <c r="B257" s="70" t="s">
        <v>811</v>
      </c>
      <c r="C257" s="63"/>
      <c r="D257" s="63"/>
      <c r="E257" s="63" t="s">
        <v>812</v>
      </c>
      <c r="F257" s="55" t="s">
        <v>531</v>
      </c>
      <c r="G257" s="173">
        <f>1.4/1.2</f>
        <v>1.16666666666667</v>
      </c>
      <c r="H257" s="173"/>
      <c r="I257" s="173"/>
      <c r="J257" s="79">
        <f t="shared" si="65"/>
        <v>1.16666666666667</v>
      </c>
      <c r="K257" s="79">
        <f t="shared" si="62"/>
        <v>0.116666666666667</v>
      </c>
      <c r="L257" s="101">
        <f t="shared" si="66"/>
        <v>1</v>
      </c>
      <c r="M257" s="195"/>
      <c r="N257" s="57"/>
      <c r="O257" s="57"/>
      <c r="P257" s="57"/>
      <c r="Q257" s="57"/>
      <c r="R257" s="58"/>
      <c r="S257" s="59"/>
    </row>
    <row r="258" ht="29" spans="1:19">
      <c r="A258" s="87" t="s">
        <v>813</v>
      </c>
      <c r="B258" s="70" t="s">
        <v>814</v>
      </c>
      <c r="C258" s="63"/>
      <c r="D258" s="63"/>
      <c r="E258" s="63" t="s">
        <v>815</v>
      </c>
      <c r="F258" s="55" t="s">
        <v>531</v>
      </c>
      <c r="G258" s="173">
        <f>3/1.2</f>
        <v>2.5</v>
      </c>
      <c r="H258" s="173"/>
      <c r="I258" s="173"/>
      <c r="J258" s="79">
        <f t="shared" si="65"/>
        <v>2.5</v>
      </c>
      <c r="K258" s="79">
        <f t="shared" si="62"/>
        <v>0.25</v>
      </c>
      <c r="L258" s="101">
        <f t="shared" si="66"/>
        <v>3</v>
      </c>
      <c r="M258" s="195"/>
      <c r="N258" s="57"/>
      <c r="O258" s="57"/>
      <c r="P258" s="57"/>
      <c r="Q258" s="57"/>
      <c r="R258" s="58"/>
      <c r="S258" s="59"/>
    </row>
    <row r="259" s="14" customFormat="1" ht="22.5" customHeight="1" spans="1:19">
      <c r="A259" s="196" t="s">
        <v>816</v>
      </c>
      <c r="B259" s="197"/>
      <c r="C259" s="198"/>
      <c r="D259" s="199"/>
      <c r="E259" s="199"/>
      <c r="F259" s="199"/>
      <c r="G259" s="199"/>
      <c r="H259" s="199"/>
      <c r="I259" s="199"/>
      <c r="J259" s="199"/>
      <c r="K259" s="199"/>
      <c r="L259" s="199"/>
      <c r="M259" s="200"/>
      <c r="N259" s="201"/>
      <c r="O259" s="201"/>
      <c r="P259" s="201"/>
      <c r="Q259" s="201"/>
      <c r="R259" s="202"/>
      <c r="S259" s="86"/>
    </row>
    <row r="260" ht="14.5" spans="1:19">
      <c r="A260" s="204" t="s">
        <v>264</v>
      </c>
      <c r="B260" s="205" t="s">
        <v>817</v>
      </c>
      <c r="C260" s="179"/>
      <c r="D260" s="179"/>
      <c r="E260" s="179"/>
      <c r="F260" s="180"/>
      <c r="G260" s="173"/>
      <c r="H260" s="173"/>
      <c r="I260" s="173"/>
      <c r="J260" s="173"/>
      <c r="K260" s="173"/>
      <c r="L260" s="101"/>
      <c r="M260" s="181"/>
      <c r="N260" s="57"/>
      <c r="O260" s="57"/>
      <c r="P260" s="57"/>
      <c r="Q260" s="57"/>
      <c r="R260" s="58"/>
      <c r="S260" s="59"/>
    </row>
    <row r="261" ht="217.5" spans="1:19">
      <c r="A261" s="206" t="s">
        <v>818</v>
      </c>
      <c r="B261" s="207" t="s">
        <v>819</v>
      </c>
      <c r="C261" s="179"/>
      <c r="D261" s="183"/>
      <c r="E261" s="63" t="s">
        <v>820</v>
      </c>
      <c r="F261" s="180" t="s">
        <v>195</v>
      </c>
      <c r="G261" s="173"/>
      <c r="H261" s="173"/>
      <c r="I261" s="173"/>
      <c r="J261" s="173"/>
      <c r="K261" s="173"/>
      <c r="L261" s="36" t="s">
        <v>821</v>
      </c>
      <c r="M261" s="208" t="s">
        <v>822</v>
      </c>
      <c r="N261" s="57"/>
      <c r="O261" s="57"/>
      <c r="P261" s="57"/>
      <c r="Q261" s="57"/>
      <c r="R261" s="58"/>
      <c r="S261" s="59"/>
    </row>
    <row r="262" ht="101.5" spans="1:19">
      <c r="A262" s="206" t="s">
        <v>823</v>
      </c>
      <c r="B262" s="207" t="s">
        <v>824</v>
      </c>
      <c r="C262" s="179"/>
      <c r="D262" s="183"/>
      <c r="E262" s="63" t="s">
        <v>825</v>
      </c>
      <c r="F262" s="180" t="s">
        <v>195</v>
      </c>
      <c r="G262" s="173"/>
      <c r="H262" s="173"/>
      <c r="I262" s="173"/>
      <c r="J262" s="173"/>
      <c r="K262" s="173"/>
      <c r="L262" s="36" t="s">
        <v>826</v>
      </c>
      <c r="M262" s="208"/>
      <c r="N262" s="57"/>
      <c r="O262" s="57"/>
      <c r="P262" s="57"/>
      <c r="Q262" s="57"/>
      <c r="R262" s="58"/>
      <c r="S262" s="59"/>
    </row>
    <row r="263" ht="101.5" spans="1:19">
      <c r="A263" s="206" t="s">
        <v>827</v>
      </c>
      <c r="B263" s="207" t="s">
        <v>828</v>
      </c>
      <c r="C263" s="179"/>
      <c r="D263" s="183"/>
      <c r="E263" s="63" t="s">
        <v>829</v>
      </c>
      <c r="F263" s="180" t="s">
        <v>195</v>
      </c>
      <c r="G263" s="173"/>
      <c r="H263" s="173"/>
      <c r="I263" s="173"/>
      <c r="J263" s="173"/>
      <c r="K263" s="173"/>
      <c r="L263" s="36" t="s">
        <v>830</v>
      </c>
      <c r="M263" s="208" t="s">
        <v>831</v>
      </c>
      <c r="N263" s="57"/>
      <c r="O263" s="57"/>
      <c r="P263" s="57"/>
      <c r="Q263" s="57"/>
      <c r="R263" s="58"/>
      <c r="S263" s="59"/>
    </row>
    <row r="264" ht="43.5" spans="1:19">
      <c r="A264" s="206" t="s">
        <v>832</v>
      </c>
      <c r="B264" s="207" t="s">
        <v>833</v>
      </c>
      <c r="C264" s="179"/>
      <c r="D264" s="183"/>
      <c r="E264" s="63" t="s">
        <v>834</v>
      </c>
      <c r="F264" s="180" t="s">
        <v>24</v>
      </c>
      <c r="G264" s="173">
        <v>8</v>
      </c>
      <c r="H264" s="173"/>
      <c r="I264" s="173"/>
      <c r="J264" s="79">
        <f>G264+H264+I264</f>
        <v>8</v>
      </c>
      <c r="K264" s="79">
        <f>J264*0.1</f>
        <v>0.8</v>
      </c>
      <c r="L264" s="101">
        <f>ROUND((J264+K264),0)</f>
        <v>9</v>
      </c>
      <c r="M264" s="208" t="s">
        <v>835</v>
      </c>
      <c r="N264" s="57"/>
      <c r="O264" s="57"/>
      <c r="P264" s="57"/>
      <c r="Q264" s="57"/>
      <c r="R264" s="58"/>
      <c r="S264" s="59"/>
    </row>
    <row r="265" ht="43.5" spans="1:19">
      <c r="A265" s="206" t="s">
        <v>836</v>
      </c>
      <c r="B265" s="207"/>
      <c r="C265" s="179"/>
      <c r="D265" s="183"/>
      <c r="E265" s="63" t="s">
        <v>837</v>
      </c>
      <c r="F265" s="180" t="s">
        <v>24</v>
      </c>
      <c r="G265" s="173">
        <v>8.9</v>
      </c>
      <c r="H265" s="173"/>
      <c r="I265" s="173"/>
      <c r="J265" s="79">
        <f>G265+H265+I265</f>
        <v>8.9</v>
      </c>
      <c r="K265" s="79">
        <f>J265*0.1</f>
        <v>0.89</v>
      </c>
      <c r="L265" s="101">
        <f>ROUND((J265+K265),0)</f>
        <v>10</v>
      </c>
      <c r="M265" s="208"/>
      <c r="N265" s="57"/>
      <c r="O265" s="57"/>
      <c r="P265" s="57"/>
      <c r="Q265" s="57"/>
      <c r="R265" s="58"/>
      <c r="S265" s="59"/>
    </row>
    <row r="266" ht="29" spans="1:19">
      <c r="A266" s="206" t="s">
        <v>838</v>
      </c>
      <c r="B266" s="207"/>
      <c r="C266" s="179"/>
      <c r="D266" s="183"/>
      <c r="E266" s="63" t="s">
        <v>839</v>
      </c>
      <c r="F266" s="180" t="s">
        <v>24</v>
      </c>
      <c r="G266" s="173">
        <f>10</f>
        <v>10</v>
      </c>
      <c r="H266" s="173"/>
      <c r="I266" s="173"/>
      <c r="J266" s="79">
        <f>G266+H266+I266</f>
        <v>10</v>
      </c>
      <c r="K266" s="79">
        <f>J266*0.1</f>
        <v>1</v>
      </c>
      <c r="L266" s="101">
        <f>ROUND((J266+K266),0)</f>
        <v>11</v>
      </c>
      <c r="M266" s="208" t="s">
        <v>840</v>
      </c>
      <c r="N266" s="57"/>
      <c r="O266" s="57"/>
      <c r="P266" s="57"/>
      <c r="Q266" s="57"/>
      <c r="R266" s="58">
        <v>10</v>
      </c>
      <c r="S266" s="59"/>
    </row>
    <row r="267" customHeight="1" spans="1:19">
      <c r="A267" s="206" t="s">
        <v>841</v>
      </c>
      <c r="B267" s="207"/>
      <c r="C267" s="179"/>
      <c r="D267" s="183"/>
      <c r="E267" s="63" t="s">
        <v>842</v>
      </c>
      <c r="F267" s="180" t="s">
        <v>531</v>
      </c>
      <c r="G267" s="173">
        <v>850</v>
      </c>
      <c r="H267" s="173"/>
      <c r="I267" s="173"/>
      <c r="J267" s="79">
        <f>G267+H267+I267</f>
        <v>850</v>
      </c>
      <c r="K267" s="79">
        <f>J267*0.1</f>
        <v>85</v>
      </c>
      <c r="L267" s="101">
        <f>ROUND((J267+K267),0)</f>
        <v>935</v>
      </c>
      <c r="M267" s="208"/>
      <c r="N267" s="57"/>
      <c r="O267" s="57"/>
      <c r="P267" s="57"/>
      <c r="Q267" s="57"/>
      <c r="R267" s="58"/>
      <c r="S267" s="59"/>
    </row>
    <row r="268" ht="159.5" spans="1:19">
      <c r="A268" s="206" t="s">
        <v>843</v>
      </c>
      <c r="B268" s="207" t="s">
        <v>844</v>
      </c>
      <c r="C268" s="179"/>
      <c r="D268" s="183"/>
      <c r="E268" s="63" t="s">
        <v>845</v>
      </c>
      <c r="F268" s="180" t="s">
        <v>195</v>
      </c>
      <c r="G268" s="173"/>
      <c r="H268" s="173"/>
      <c r="I268" s="173"/>
      <c r="J268" s="173"/>
      <c r="K268" s="173"/>
      <c r="L268" s="36" t="s">
        <v>846</v>
      </c>
      <c r="M268" s="181"/>
      <c r="N268" s="57"/>
      <c r="O268" s="57"/>
      <c r="P268" s="57"/>
      <c r="Q268" s="57"/>
      <c r="R268" s="58"/>
      <c r="S268" s="59"/>
    </row>
    <row r="269" ht="188.5" spans="1:19">
      <c r="A269" s="206" t="s">
        <v>847</v>
      </c>
      <c r="B269" s="207" t="s">
        <v>848</v>
      </c>
      <c r="C269" s="179"/>
      <c r="D269" s="183"/>
      <c r="E269" s="63" t="s">
        <v>849</v>
      </c>
      <c r="F269" s="180" t="s">
        <v>195</v>
      </c>
      <c r="G269" s="173"/>
      <c r="H269" s="173"/>
      <c r="I269" s="173"/>
      <c r="J269" s="173"/>
      <c r="K269" s="173"/>
      <c r="L269" s="36" t="s">
        <v>850</v>
      </c>
      <c r="M269" s="181"/>
      <c r="N269" s="57"/>
      <c r="O269" s="57"/>
      <c r="P269" s="57"/>
      <c r="Q269" s="57"/>
      <c r="R269" s="58"/>
      <c r="S269" s="59"/>
    </row>
    <row r="270" ht="14.5" spans="1:19">
      <c r="A270" s="204" t="s">
        <v>398</v>
      </c>
      <c r="B270" s="209" t="s">
        <v>851</v>
      </c>
      <c r="C270" s="179"/>
      <c r="D270" s="183"/>
      <c r="E270" s="63"/>
      <c r="F270" s="180"/>
      <c r="G270" s="173"/>
      <c r="H270" s="173"/>
      <c r="I270" s="173"/>
      <c r="J270" s="173"/>
      <c r="K270" s="173"/>
      <c r="L270" s="36"/>
      <c r="M270" s="181"/>
      <c r="N270" s="57"/>
      <c r="O270" s="57"/>
      <c r="P270" s="57"/>
      <c r="Q270" s="57"/>
      <c r="R270" s="58"/>
      <c r="S270" s="59"/>
    </row>
    <row r="271" ht="391.5" spans="1:19">
      <c r="A271" s="206" t="s">
        <v>852</v>
      </c>
      <c r="B271" s="207" t="s">
        <v>853</v>
      </c>
      <c r="C271" s="179"/>
      <c r="D271" s="183"/>
      <c r="E271" s="63" t="s">
        <v>854</v>
      </c>
      <c r="F271" s="180" t="s">
        <v>195</v>
      </c>
      <c r="G271" s="173"/>
      <c r="H271" s="173"/>
      <c r="I271" s="173"/>
      <c r="J271" s="173"/>
      <c r="K271" s="173"/>
      <c r="L271" s="36" t="s">
        <v>830</v>
      </c>
      <c r="M271" s="181"/>
      <c r="N271" s="57"/>
      <c r="O271" s="57"/>
      <c r="P271" s="57"/>
      <c r="Q271" s="57"/>
      <c r="R271" s="58"/>
      <c r="S271" s="59"/>
    </row>
    <row r="272" ht="29" spans="1:19">
      <c r="A272" s="206" t="s">
        <v>855</v>
      </c>
      <c r="B272" s="207" t="s">
        <v>856</v>
      </c>
      <c r="C272" s="179"/>
      <c r="D272" s="183"/>
      <c r="E272" s="63"/>
      <c r="F272" s="180" t="s">
        <v>195</v>
      </c>
      <c r="G272" s="173"/>
      <c r="H272" s="173"/>
      <c r="I272" s="173"/>
      <c r="J272" s="173"/>
      <c r="K272" s="173"/>
      <c r="L272" s="36" t="s">
        <v>846</v>
      </c>
      <c r="M272" s="181"/>
      <c r="N272" s="57"/>
      <c r="O272" s="57"/>
      <c r="P272" s="57"/>
      <c r="Q272" s="57"/>
      <c r="R272" s="58"/>
      <c r="S272" s="59"/>
    </row>
    <row r="273" s="14" customFormat="1" ht="22.5" customHeight="1" spans="1:19">
      <c r="A273" s="196" t="s">
        <v>857</v>
      </c>
      <c r="B273" s="197"/>
      <c r="C273" s="198"/>
      <c r="D273" s="199"/>
      <c r="E273" s="199"/>
      <c r="F273" s="199"/>
      <c r="G273" s="199"/>
      <c r="H273" s="199"/>
      <c r="I273" s="199"/>
      <c r="J273" s="199"/>
      <c r="K273" s="199"/>
      <c r="L273" s="199"/>
      <c r="M273" s="200"/>
      <c r="N273" s="201"/>
      <c r="O273" s="201"/>
      <c r="P273" s="201"/>
      <c r="Q273" s="201"/>
      <c r="R273" s="202"/>
      <c r="S273" s="210"/>
    </row>
    <row r="274" ht="14.5" spans="1:19">
      <c r="A274" s="168" t="s">
        <v>858</v>
      </c>
      <c r="B274" s="139" t="s">
        <v>859</v>
      </c>
      <c r="C274" s="139"/>
      <c r="D274" s="139"/>
      <c r="E274" s="139"/>
      <c r="F274" s="55" t="s">
        <v>24</v>
      </c>
      <c r="G274" s="136"/>
      <c r="H274" s="136"/>
      <c r="I274" s="136"/>
      <c r="J274" s="79">
        <f>G274+H274+I274</f>
        <v>0</v>
      </c>
      <c r="K274" s="79">
        <f>J274*0.2</f>
        <v>0</v>
      </c>
      <c r="L274" s="101">
        <f>ROUND((J274+K274),0)</f>
        <v>0</v>
      </c>
      <c r="M274" s="138"/>
      <c r="N274" s="57"/>
      <c r="O274" s="57"/>
      <c r="P274" s="57"/>
      <c r="Q274" s="57"/>
      <c r="R274" s="58"/>
      <c r="S274" s="59"/>
    </row>
    <row r="275" ht="65" spans="1:19">
      <c r="A275" s="168" t="s">
        <v>860</v>
      </c>
      <c r="B275" s="183" t="s">
        <v>861</v>
      </c>
      <c r="C275" s="183" t="s">
        <v>862</v>
      </c>
      <c r="D275" s="183"/>
      <c r="E275" s="183" t="s">
        <v>344</v>
      </c>
      <c r="F275" s="184" t="s">
        <v>47</v>
      </c>
      <c r="G275" s="173"/>
      <c r="H275" s="173"/>
      <c r="I275" s="173"/>
      <c r="J275" s="79">
        <f>G275+H275+I275</f>
        <v>0</v>
      </c>
      <c r="K275" s="79">
        <f>J275*0.25</f>
        <v>0</v>
      </c>
      <c r="L275" s="101">
        <f>ROUND((J275+K275),0)</f>
        <v>0</v>
      </c>
      <c r="M275" s="138"/>
      <c r="N275" s="57"/>
      <c r="O275" s="57"/>
      <c r="P275" s="57"/>
      <c r="Q275" s="57"/>
      <c r="R275" s="58"/>
      <c r="S275" s="59"/>
    </row>
    <row r="276" ht="65" spans="1:19">
      <c r="A276" s="168" t="s">
        <v>863</v>
      </c>
      <c r="B276" s="183" t="s">
        <v>864</v>
      </c>
      <c r="C276" s="183" t="s">
        <v>865</v>
      </c>
      <c r="D276" s="183"/>
      <c r="E276" s="183" t="s">
        <v>344</v>
      </c>
      <c r="F276" s="184" t="s">
        <v>47</v>
      </c>
      <c r="G276" s="173"/>
      <c r="H276" s="173"/>
      <c r="I276" s="173"/>
      <c r="J276" s="79">
        <f>G276+H276+I276</f>
        <v>0</v>
      </c>
      <c r="K276" s="79">
        <f>J276*0.25</f>
        <v>0</v>
      </c>
      <c r="L276" s="101">
        <f>ROUND((J276+K276),0)</f>
        <v>0</v>
      </c>
      <c r="M276" s="138"/>
      <c r="N276" s="57"/>
      <c r="O276" s="57"/>
      <c r="P276" s="57"/>
      <c r="Q276" s="57"/>
      <c r="R276" s="58"/>
      <c r="S276" s="59"/>
    </row>
    <row r="277" spans="1:19">
      <c r="A277" s="165"/>
      <c r="B277" s="139"/>
      <c r="C277" s="139"/>
      <c r="D277" s="139"/>
      <c r="E277" s="139"/>
      <c r="F277" s="140"/>
      <c r="G277" s="136"/>
      <c r="H277" s="136"/>
      <c r="I277" s="136"/>
      <c r="J277" s="136"/>
      <c r="K277" s="136"/>
      <c r="L277" s="137"/>
      <c r="M277" s="138"/>
      <c r="N277" s="57"/>
      <c r="O277" s="57"/>
      <c r="P277" s="57"/>
      <c r="Q277" s="57"/>
      <c r="R277" s="58"/>
      <c r="S277" s="59"/>
    </row>
    <row r="278" spans="1:19">
      <c r="A278" s="165"/>
      <c r="B278" s="139"/>
      <c r="C278" s="139"/>
      <c r="D278" s="139"/>
      <c r="E278" s="139"/>
      <c r="F278" s="140"/>
      <c r="G278" s="136"/>
      <c r="H278" s="136"/>
      <c r="I278" s="136"/>
      <c r="J278" s="136"/>
      <c r="K278" s="136"/>
      <c r="L278" s="137"/>
      <c r="M278" s="138"/>
      <c r="N278" s="57"/>
      <c r="O278" s="57"/>
      <c r="P278" s="57"/>
      <c r="Q278" s="57"/>
      <c r="R278" s="58"/>
      <c r="S278" s="59"/>
    </row>
  </sheetData>
  <mergeCells count="62">
    <mergeCell ref="A1:S1"/>
    <mergeCell ref="G2:M2"/>
    <mergeCell ref="N2:Q2"/>
    <mergeCell ref="N3:Q3"/>
    <mergeCell ref="A6:C6"/>
    <mergeCell ref="A40:C40"/>
    <mergeCell ref="A72:C72"/>
    <mergeCell ref="B73:C73"/>
    <mergeCell ref="F105:K105"/>
    <mergeCell ref="F106:K106"/>
    <mergeCell ref="F111:K111"/>
    <mergeCell ref="B112:C112"/>
    <mergeCell ref="F113:K113"/>
    <mergeCell ref="F116:K116"/>
    <mergeCell ref="A131:C131"/>
    <mergeCell ref="B132:C132"/>
    <mergeCell ref="A167:C167"/>
    <mergeCell ref="A184:C184"/>
    <mergeCell ref="B185:C185"/>
    <mergeCell ref="B186:C186"/>
    <mergeCell ref="B193:C193"/>
    <mergeCell ref="B196:C196"/>
    <mergeCell ref="B203:C203"/>
    <mergeCell ref="A207:C207"/>
    <mergeCell ref="B208:C208"/>
    <mergeCell ref="B222:C222"/>
    <mergeCell ref="A226:C226"/>
    <mergeCell ref="A233:C233"/>
    <mergeCell ref="A259:C259"/>
    <mergeCell ref="A273:C273"/>
    <mergeCell ref="A3:A5"/>
    <mergeCell ref="B3:B5"/>
    <mergeCell ref="B264:B267"/>
    <mergeCell ref="C3:C5"/>
    <mergeCell ref="C197:C200"/>
    <mergeCell ref="D3:D5"/>
    <mergeCell ref="D186:D195"/>
    <mergeCell ref="D209:D214"/>
    <mergeCell ref="E3:E5"/>
    <mergeCell ref="E58:E60"/>
    <mergeCell ref="E78:E79"/>
    <mergeCell ref="E187:E192"/>
    <mergeCell ref="E197:E201"/>
    <mergeCell ref="E204:E206"/>
    <mergeCell ref="E209:E214"/>
    <mergeCell ref="E227:E231"/>
    <mergeCell ref="F3:F5"/>
    <mergeCell ref="G4:G5"/>
    <mergeCell ref="H4:H5"/>
    <mergeCell ref="I4:I5"/>
    <mergeCell ref="J4:J5"/>
    <mergeCell ref="K3:K5"/>
    <mergeCell ref="L3:L5"/>
    <mergeCell ref="M3:M5"/>
    <mergeCell ref="M264:M265"/>
    <mergeCell ref="M266:M267"/>
    <mergeCell ref="N4:N5"/>
    <mergeCell ref="O4:O5"/>
    <mergeCell ref="P4:P5"/>
    <mergeCell ref="Q4:Q5"/>
    <mergeCell ref="R3:R5"/>
    <mergeCell ref="S3:S5"/>
  </mergeCells>
  <pageMargins left="0.25" right="0.25" top="0.75" bottom="0.75" header="0.298611111111111" footer="0.298611111111111"/>
  <pageSetup paperSize="9" scale="39"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15"/>
  <sheetViews>
    <sheetView view="pageBreakPreview" zoomScale="85" zoomScaleNormal="70" topLeftCell="A6" workbookViewId="0">
      <selection activeCell="A15" sqref="A15:F15"/>
    </sheetView>
  </sheetViews>
  <sheetFormatPr defaultColWidth="8.37272727272727" defaultRowHeight="13" outlineLevelCol="6"/>
  <cols>
    <col min="1" max="1" width="6" style="1" customWidth="1"/>
    <col min="2" max="2" width="12.3727272727273" style="1" customWidth="1"/>
    <col min="3" max="3" width="71" style="2" customWidth="1"/>
    <col min="4" max="4" width="28.5" style="1" customWidth="1"/>
    <col min="5" max="5" width="5.12727272727273" style="1" customWidth="1"/>
    <col min="6" max="6" width="6.62727272727273" style="1" customWidth="1"/>
    <col min="7" max="16384" width="8.37272727272727" style="1"/>
  </cols>
  <sheetData>
    <row r="1" ht="25.15" customHeight="1" spans="1:7">
      <c r="A1" s="3" t="s">
        <v>866</v>
      </c>
      <c r="B1" s="3"/>
      <c r="C1" s="4"/>
      <c r="D1" s="3"/>
      <c r="E1" s="3"/>
      <c r="F1" s="3"/>
    </row>
    <row r="2" ht="24" customHeight="1" spans="1:7">
      <c r="A2" s="5" t="s">
        <v>867</v>
      </c>
      <c r="B2" s="5" t="s">
        <v>868</v>
      </c>
      <c r="C2" s="6" t="s">
        <v>869</v>
      </c>
      <c r="D2" s="6" t="s">
        <v>870</v>
      </c>
      <c r="E2" s="5" t="s">
        <v>871</v>
      </c>
      <c r="F2" s="7" t="s">
        <v>872</v>
      </c>
    </row>
    <row r="3" s="1" customFormat="1" ht="68.45" customHeight="1" spans="1:7">
      <c r="A3" s="8">
        <v>1</v>
      </c>
      <c r="B3" s="9" t="s">
        <v>819</v>
      </c>
      <c r="C3" s="10" t="s">
        <v>873</v>
      </c>
      <c r="D3" s="9" t="s">
        <v>874</v>
      </c>
      <c r="E3" s="8" t="s">
        <v>875</v>
      </c>
      <c r="F3" s="11"/>
    </row>
    <row r="4" s="1" customFormat="1" ht="76.15" customHeight="1" spans="1:7">
      <c r="A4" s="8">
        <v>2</v>
      </c>
      <c r="B4" s="9" t="s">
        <v>876</v>
      </c>
      <c r="C4" s="10" t="s">
        <v>877</v>
      </c>
      <c r="D4" s="9" t="s">
        <v>874</v>
      </c>
      <c r="E4" s="8" t="s">
        <v>875</v>
      </c>
      <c r="F4" s="11"/>
    </row>
    <row r="5" s="1" customFormat="1" ht="277.5" customHeight="1" spans="1:7">
      <c r="A5" s="8">
        <v>3</v>
      </c>
      <c r="B5" s="9" t="s">
        <v>878</v>
      </c>
      <c r="C5" s="10" t="s">
        <v>879</v>
      </c>
      <c r="D5" s="9" t="s">
        <v>874</v>
      </c>
      <c r="E5" s="8" t="s">
        <v>875</v>
      </c>
      <c r="F5" s="11"/>
    </row>
    <row r="6" s="1" customFormat="1" ht="156" spans="1:7">
      <c r="A6" s="8">
        <v>4</v>
      </c>
      <c r="B6" s="9" t="s">
        <v>880</v>
      </c>
      <c r="C6" s="10" t="s">
        <v>881</v>
      </c>
      <c r="D6" s="9" t="s">
        <v>874</v>
      </c>
      <c r="E6" s="8" t="s">
        <v>875</v>
      </c>
      <c r="F6" s="11"/>
    </row>
    <row r="7" ht="52" spans="1:7">
      <c r="A7" s="8">
        <v>5</v>
      </c>
      <c r="B7" s="9" t="s">
        <v>882</v>
      </c>
      <c r="C7" s="10" t="s">
        <v>883</v>
      </c>
      <c r="D7" s="9" t="s">
        <v>874</v>
      </c>
      <c r="E7" s="8" t="s">
        <v>875</v>
      </c>
      <c r="F7" s="11"/>
    </row>
    <row r="8" s="1" customFormat="1" ht="65" spans="1:7">
      <c r="A8" s="8">
        <v>6</v>
      </c>
      <c r="B8" s="9" t="s">
        <v>884</v>
      </c>
      <c r="C8" s="10" t="s">
        <v>885</v>
      </c>
      <c r="D8" s="9" t="s">
        <v>874</v>
      </c>
      <c r="E8" s="8" t="s">
        <v>875</v>
      </c>
      <c r="F8" s="11"/>
    </row>
    <row r="9" s="1" customFormat="1" ht="65" spans="1:7">
      <c r="A9" s="8">
        <v>7</v>
      </c>
      <c r="B9" s="9" t="s">
        <v>886</v>
      </c>
      <c r="C9" s="10" t="s">
        <v>887</v>
      </c>
      <c r="D9" s="9" t="s">
        <v>874</v>
      </c>
      <c r="E9" s="8" t="s">
        <v>875</v>
      </c>
      <c r="F9" s="11"/>
    </row>
    <row r="10" s="1" customFormat="1" ht="52" spans="1:7">
      <c r="A10" s="8">
        <v>8</v>
      </c>
      <c r="B10" s="9" t="s">
        <v>888</v>
      </c>
      <c r="C10" s="10" t="s">
        <v>889</v>
      </c>
      <c r="D10" s="9" t="s">
        <v>874</v>
      </c>
      <c r="E10" s="8" t="s">
        <v>875</v>
      </c>
      <c r="F10" s="11"/>
      <c r="G10" s="12"/>
    </row>
    <row r="11" s="1" customFormat="1" ht="65" spans="1:7">
      <c r="A11" s="8">
        <v>9</v>
      </c>
      <c r="B11" s="9" t="s">
        <v>890</v>
      </c>
      <c r="C11" s="10" t="s">
        <v>891</v>
      </c>
      <c r="D11" s="9" t="s">
        <v>892</v>
      </c>
      <c r="E11" s="8" t="s">
        <v>875</v>
      </c>
      <c r="F11" s="11"/>
    </row>
    <row r="12" s="1" customFormat="1" ht="52" spans="1:7">
      <c r="A12" s="8">
        <v>10</v>
      </c>
      <c r="B12" s="9" t="s">
        <v>893</v>
      </c>
      <c r="C12" s="10" t="s">
        <v>894</v>
      </c>
      <c r="D12" s="9" t="s">
        <v>874</v>
      </c>
      <c r="E12" s="8" t="s">
        <v>875</v>
      </c>
      <c r="F12" s="11"/>
    </row>
    <row r="13" s="1" customFormat="1" ht="126.6" customHeight="1" spans="1:7">
      <c r="A13" s="8">
        <v>11</v>
      </c>
      <c r="B13" s="9" t="s">
        <v>895</v>
      </c>
      <c r="C13" s="10" t="s">
        <v>896</v>
      </c>
      <c r="D13" s="9" t="s">
        <v>874</v>
      </c>
      <c r="E13" s="8" t="s">
        <v>875</v>
      </c>
      <c r="F13" s="11"/>
    </row>
    <row r="14" ht="59.45" customHeight="1" spans="1:7">
      <c r="A14" s="8">
        <v>12</v>
      </c>
      <c r="B14" s="9" t="s">
        <v>897</v>
      </c>
      <c r="C14" s="9" t="s">
        <v>898</v>
      </c>
      <c r="D14" s="9" t="s">
        <v>874</v>
      </c>
      <c r="E14" s="8" t="s">
        <v>875</v>
      </c>
      <c r="F14" s="11"/>
    </row>
    <row r="15" ht="93.6" customHeight="1" spans="1:7">
      <c r="A15" s="13" t="s">
        <v>899</v>
      </c>
      <c r="B15" s="13"/>
      <c r="C15" s="13"/>
      <c r="D15" s="13"/>
      <c r="E15" s="13"/>
      <c r="F15" s="13"/>
    </row>
  </sheetData>
  <mergeCells count="2">
    <mergeCell ref="A1:F1"/>
    <mergeCell ref="A15:F15"/>
  </mergeCells>
  <pageMargins left="0.75" right="0.75" top="1" bottom="1" header="0.5" footer="0.5"/>
  <pageSetup paperSize="9" scale="65"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2025旗胜标杆价连接</vt:lpstr>
      <vt:lpstr>措施费说明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kyrie</cp:lastModifiedBy>
  <dcterms:created xsi:type="dcterms:W3CDTF">2025-10-11T03:17:00Z</dcterms:created>
  <dcterms:modified xsi:type="dcterms:W3CDTF">2026-05-19T08:39:51Z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CB46D2C0C3FF4FBABD6F5310ECC42116_13</vt:lpwstr>
  </property>
  <property fmtid="{D5CDD505-2E9C-101B-9397-08002B2CF9AE}" pid="3" name="KSOProductBuildVer">
    <vt:lpwstr>2052-12.1.0.26375</vt:lpwstr>
  </property>
  <property fmtid="{D5CDD505-2E9C-101B-9397-08002B2CF9AE}" pid="4" name="CalculationRule">
    <vt:i4>0</vt:i4>
  </property>
</Properties>
</file>